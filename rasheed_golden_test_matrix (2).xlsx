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l mostafa\Downloads\"/>
    </mc:Choice>
  </mc:AlternateContent>
  <xr:revisionPtr revIDLastSave="0" documentId="13_ncr:1_{AF916B32-065D-44E0-A600-306CB6DEAD23}" xr6:coauthVersionLast="47" xr6:coauthVersionMax="47" xr10:uidLastSave="{00000000-0000-0000-0000-000000000000}"/>
  <bookViews>
    <workbookView xWindow="-120" yWindow="-120" windowWidth="25440" windowHeight="15390" tabRatio="500" firstSheet="6" activeTab="8" xr2:uid="{00000000-000D-0000-FFFF-FFFF00000000}"/>
  </bookViews>
  <sheets>
    <sheet name="اقرأني - README" sheetId="1" r:id="rId1"/>
    <sheet name="الصحيفة اليومية - المحرك" sheetId="2" r:id="rId2"/>
    <sheet name="تغيير النسب أثناء الشهر" sheetId="3" r:id="rId3"/>
    <sheet name="النسبة الإدارية والصندوق" sheetId="4" r:id="rId4"/>
    <sheet name="الصندوق التشغيلي" sheetId="5" r:id="rId5"/>
    <sheet name="الدين الإداري والتسوية" sheetId="6" r:id="rId6"/>
    <sheet name="محطة الصندوق - الترحيل" sheetId="7" r:id="rId7"/>
    <sheet name="المساهمات بين المشاريع" sheetId="8" r:id="rId8"/>
    <sheet name="المخزون - FIFO والمصروف" sheetId="9" r:id="rId9"/>
    <sheet name="قائمة الاتساق بين الصفحات"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2" i="10" l="1"/>
  <c r="F11" i="10"/>
  <c r="F10" i="10"/>
  <c r="F9" i="10"/>
  <c r="F8" i="10"/>
  <c r="F7" i="10"/>
  <c r="F6" i="10"/>
  <c r="F5" i="10"/>
  <c r="E14" i="9"/>
  <c r="D14" i="9"/>
  <c r="E13" i="9"/>
  <c r="D13" i="9"/>
  <c r="E12" i="9"/>
  <c r="D12" i="9"/>
  <c r="E7" i="9"/>
  <c r="E6" i="9"/>
  <c r="E5" i="9"/>
  <c r="H9" i="8"/>
  <c r="E9" i="8"/>
  <c r="D9" i="8"/>
  <c r="H8" i="8"/>
  <c r="E8" i="8"/>
  <c r="D8" i="8"/>
  <c r="H7" i="8"/>
  <c r="D7" i="8"/>
  <c r="E7" i="8" s="1"/>
  <c r="H6" i="8"/>
  <c r="D6" i="8"/>
  <c r="E6" i="8" s="1"/>
  <c r="H5" i="8"/>
  <c r="D5" i="8"/>
  <c r="E5" i="8" s="1"/>
  <c r="H9" i="7"/>
  <c r="D9" i="7"/>
  <c r="H8" i="7"/>
  <c r="D8" i="7"/>
  <c r="H7" i="7"/>
  <c r="D7" i="7"/>
  <c r="H6" i="7"/>
  <c r="D6" i="7"/>
  <c r="H5" i="7"/>
  <c r="D5" i="7"/>
  <c r="G11" i="5"/>
  <c r="H11" i="5" s="1"/>
  <c r="I11" i="5" s="1"/>
  <c r="I10" i="5"/>
  <c r="H10" i="5"/>
  <c r="G10" i="5"/>
  <c r="H9" i="5"/>
  <c r="I9" i="5" s="1"/>
  <c r="G9" i="5"/>
  <c r="G8" i="5"/>
  <c r="H8" i="5" s="1"/>
  <c r="I8" i="5" s="1"/>
  <c r="G7" i="5"/>
  <c r="H7" i="5" s="1"/>
  <c r="I7" i="5" s="1"/>
  <c r="I6" i="5"/>
  <c r="H6" i="5"/>
  <c r="G6" i="5"/>
  <c r="H5" i="5"/>
  <c r="I5" i="5" s="1"/>
  <c r="G5" i="5"/>
  <c r="I14" i="4"/>
  <c r="H14" i="4"/>
  <c r="J14" i="4" s="1"/>
  <c r="I13" i="4"/>
  <c r="H13" i="4"/>
  <c r="J13" i="4" s="1"/>
  <c r="J12" i="4"/>
  <c r="I12" i="4"/>
  <c r="H12" i="4"/>
  <c r="G7" i="4"/>
  <c r="D7" i="4"/>
  <c r="G6" i="4"/>
  <c r="D6" i="4"/>
  <c r="G5" i="4"/>
  <c r="D5" i="4"/>
  <c r="O19" i="2"/>
  <c r="Y19" i="2" s="1"/>
  <c r="N19" i="2"/>
  <c r="M19" i="2"/>
  <c r="Q19" i="2" s="1"/>
  <c r="T19" i="2" s="1"/>
  <c r="D19" i="2"/>
  <c r="S18" i="2"/>
  <c r="Q18" i="2"/>
  <c r="T18" i="2" s="1"/>
  <c r="N18" i="2"/>
  <c r="M18" i="2"/>
  <c r="O18" i="2" s="1"/>
  <c r="Y18" i="2" s="1"/>
  <c r="D18" i="2"/>
  <c r="Q17" i="2"/>
  <c r="T17" i="2" s="1"/>
  <c r="N17" i="2"/>
  <c r="M17" i="2"/>
  <c r="S17" i="2" s="1"/>
  <c r="D17" i="2"/>
  <c r="Q16" i="2"/>
  <c r="T16" i="2" s="1"/>
  <c r="N16" i="2"/>
  <c r="D16" i="2"/>
  <c r="M16" i="2" s="1"/>
  <c r="T15" i="2"/>
  <c r="Q15" i="2"/>
  <c r="N15" i="2"/>
  <c r="D15" i="2"/>
  <c r="M15" i="2" s="1"/>
  <c r="N14" i="2"/>
  <c r="D14" i="2"/>
  <c r="M14" i="2" s="1"/>
  <c r="T13" i="2"/>
  <c r="Q13" i="2"/>
  <c r="N13" i="2"/>
  <c r="M13" i="2"/>
  <c r="S13" i="2" s="1"/>
  <c r="D13" i="2"/>
  <c r="Q12" i="2"/>
  <c r="T12" i="2" s="1"/>
  <c r="N12" i="2"/>
  <c r="D12" i="2"/>
  <c r="M12" i="2" s="1"/>
  <c r="T11" i="2"/>
  <c r="Q11" i="2"/>
  <c r="N11" i="2"/>
  <c r="D11" i="2"/>
  <c r="M11" i="2" s="1"/>
  <c r="Q10" i="2"/>
  <c r="T10" i="2" s="1"/>
  <c r="N10" i="2"/>
  <c r="D10" i="2"/>
  <c r="M10" i="2" s="1"/>
  <c r="N9" i="2"/>
  <c r="M9" i="2"/>
  <c r="S9" i="2" s="1"/>
  <c r="D9" i="2"/>
  <c r="Q8" i="2"/>
  <c r="T8" i="2" s="1"/>
  <c r="N8" i="2"/>
  <c r="D8" i="2"/>
  <c r="M8" i="2" s="1"/>
  <c r="T7" i="2"/>
  <c r="Q7" i="2"/>
  <c r="N7" i="2"/>
  <c r="D7" i="2"/>
  <c r="M7" i="2" s="1"/>
  <c r="T6" i="2"/>
  <c r="Q6" i="2"/>
  <c r="N6" i="2"/>
  <c r="D6" i="2"/>
  <c r="M6" i="2" s="1"/>
  <c r="T5" i="2"/>
  <c r="Q5" i="2"/>
  <c r="N5" i="2"/>
  <c r="M5" i="2"/>
  <c r="S5" i="2" s="1"/>
  <c r="D5" i="2"/>
  <c r="S11" i="2" l="1"/>
  <c r="O11" i="2"/>
  <c r="Y11" i="2" s="1"/>
  <c r="R11" i="2"/>
  <c r="U11" i="2" s="1"/>
  <c r="V11" i="2" s="1"/>
  <c r="O6" i="2"/>
  <c r="Y6" i="2" s="1"/>
  <c r="R6" i="2"/>
  <c r="U6" i="2" s="1"/>
  <c r="V6" i="2" s="1"/>
  <c r="S6" i="2"/>
  <c r="S7" i="2"/>
  <c r="R7" i="2"/>
  <c r="O7" i="2"/>
  <c r="Y7" i="2" s="1"/>
  <c r="R8" i="2"/>
  <c r="U8" i="2" s="1"/>
  <c r="V8" i="2" s="1"/>
  <c r="O8" i="2"/>
  <c r="Y8" i="2" s="1"/>
  <c r="S8" i="2"/>
  <c r="R12" i="2"/>
  <c r="U12" i="2" s="1"/>
  <c r="V12" i="2" s="1"/>
  <c r="O12" i="2"/>
  <c r="Y12" i="2" s="1"/>
  <c r="S12" i="2"/>
  <c r="O14" i="2"/>
  <c r="Y14" i="2" s="1"/>
  <c r="S14" i="2"/>
  <c r="R14" i="2"/>
  <c r="Q14" i="2"/>
  <c r="T14" i="2" s="1"/>
  <c r="O10" i="2"/>
  <c r="Y10" i="2" s="1"/>
  <c r="R10" i="2"/>
  <c r="U10" i="2" s="1"/>
  <c r="V10" i="2" s="1"/>
  <c r="S10" i="2"/>
  <c r="S15" i="2"/>
  <c r="O15" i="2"/>
  <c r="Y15" i="2" s="1"/>
  <c r="R15" i="2"/>
  <c r="U15" i="2" s="1"/>
  <c r="V15" i="2" s="1"/>
  <c r="R16" i="2"/>
  <c r="U16" i="2" s="1"/>
  <c r="V16" i="2" s="1"/>
  <c r="O16" i="2"/>
  <c r="Y16" i="2" s="1"/>
  <c r="S16" i="2"/>
  <c r="O5" i="2"/>
  <c r="Y5" i="2" s="1"/>
  <c r="O13" i="2"/>
  <c r="Y13" i="2" s="1"/>
  <c r="O17" i="2"/>
  <c r="Y17" i="2" s="1"/>
  <c r="R19" i="2"/>
  <c r="R9" i="2"/>
  <c r="U9" i="2" s="1"/>
  <c r="V9" i="2" s="1"/>
  <c r="O9" i="2"/>
  <c r="Y9" i="2" s="1"/>
  <c r="Q9" i="2"/>
  <c r="T9" i="2" s="1"/>
  <c r="R18" i="2"/>
  <c r="U18" i="2" s="1"/>
  <c r="V18" i="2" s="1"/>
  <c r="S19" i="2"/>
  <c r="R5" i="2"/>
  <c r="U5" i="2" s="1"/>
  <c r="V5" i="2" s="1"/>
  <c r="R13" i="2"/>
  <c r="U13" i="2" s="1"/>
  <c r="V13" i="2" s="1"/>
  <c r="R17" i="2"/>
  <c r="U17" i="2" s="1"/>
  <c r="V17" i="2" s="1"/>
  <c r="U19" i="2" l="1"/>
  <c r="V19" i="2" s="1"/>
  <c r="U7" i="2"/>
  <c r="V7" i="2" s="1"/>
  <c r="U14" i="2"/>
  <c r="V14" i="2" s="1"/>
</calcChain>
</file>

<file path=xl/sharedStrings.xml><?xml version="1.0" encoding="utf-8"?>
<sst xmlns="http://schemas.openxmlformats.org/spreadsheetml/2006/main" count="289" uniqueCount="242">
  <si>
    <t>مصفوفة الاختبار المرجعية (Golden Test Matrix) — مشروع رشيد</t>
  </si>
  <si>
    <t>مبنية من وثيقة BRD (rasheed.docx) وبيانات فعلية من ملف الصندوق المالي (xlsx) — لاختبار صحة واتساق الحسابات في الـ Backend والـ Frontend</t>
  </si>
  <si>
    <t>كيفية الاستخدام</t>
  </si>
  <si>
    <t>كل شيت يمثل صفحة أو وحدة حسابية من النظام. الأعمدة الزرقاء = بيانات إدخال لكل حالة اختبار (Test Case). الأعمدة السوداء 'المتوقع' = محسوبة تلقائيًا بمعادلة Excel مطابقة لمعادلة الـ BRD. عمودا 'الفعلي - Backend' و'الفعلي - Frontend' (باللون الأصفر) يقوم فريق الاختبار بلصق النتيجة الحقيقية فيهما يدويًا بعد تنفيذ نفس المدخلات على النظام الفعلي، وعمود 'التطابق' يقارن تلقائيًا ويلوّن أخضر (✓) أو أحمر (✗ تحقق).</t>
  </si>
  <si>
    <t>مفتاح الألوان</t>
  </si>
  <si>
    <t>بيانات إدخال لحالة الاختبار</t>
  </si>
  <si>
    <t>خانة يملأها فريق الاختبار (النتيجة الفعلية من النظام)</t>
  </si>
  <si>
    <t>قيمة محسوبة بمعادلة Excel (المتوقع وفق الـ BRD)</t>
  </si>
  <si>
    <t>الافتراضات الموثّقة (تحتاج إقرار نهائي)</t>
  </si>
  <si>
    <t>• قاعدة التقريب: لا يوجد نص صريح في الـ BRD حول عدد المنازل العشرية أو طريقة التقريب. تم افتراض التقريب إلى منزلتين عشريتين (ROUND(x,2)) في كل معادلات هذا الملف كافتراض عمل مؤقت فقط — يجب تأكيده مع صاحب الوثيقة قبل اعتماد الملف كمرجع نهائي.</t>
  </si>
  <si>
    <t>• صيغة الإجمالي اليومي الكاملة (المؤكدة من صاحب الوثيقة): الإجمالي = (الدخل اليومي + المساهمة) − المصروف اليومي − المصروف الإداري − الاستقطاع التشغيلي − النسبة الإدارية. الصيغ المختصرة الأخرى في الوثيقة تحذف فقط الحدود التي تساوي صفرًا في تلك اللحظة من سير العمل، وليست صيغًا مختلفة.</t>
  </si>
  <si>
    <t>• النسبة الإدارية = إجمالي الوارد الكلي × 12% (تم تأكيد أن الوثيقة سقط منها علامة % في أحد المواضع سهوًا فقط).</t>
  </si>
  <si>
    <t>• النسبة الإدارية والاستقطاع التشغيلي (الأساسي 1081 والقيم الثابتة لكل مشروع) قابلة للتعديل من قبل مدير النظام. القيم التاريخية (للأيام السابقة) لا تُعاد احتسابها عند تغيير الإعداد — كما هو منصوص في §5.5.</t>
  </si>
  <si>
    <t>• "نفس نوع المشروع" و"نفس فئة النشاط" (شرط المساهمات بين المشاريع) تم تأكيدهما كحقل واحد بنفس المعنى.</t>
  </si>
  <si>
    <t>• تعديل بيانات يوم سابق (مثل الدخل) بعد تغيّر إعداد النسبة الإدارية أو الاستقطاع التشغيلي: يُعاد الاحتساب بالنسبة/القيمة التي كانت سارية وقت اليوم الأصلي نفسه، وليس بالقيمة الحالية وقت التعديل.</t>
  </si>
  <si>
    <t>• قيمة "الحد الاقصى للصرف" (6200 في شيت النسبة التشغيلية بملف الإكسل) ليست قاعدة عمل مطلوبة في النظام — تم تجاهلها ولا تظهر في أي شيت اختبار بهذا الملف.</t>
  </si>
  <si>
    <t>• صفحة 'محطة الصندوق' (§5.7) مبنية بالفعل في النظام الحالي — ملاحظة الوثيقة 'محدش يبدأ فيها برمجة حاليا' لا تنطبق، ويمكن اختبار شيت (6) كنظام حي.</t>
  </si>
  <si>
    <t>• لا يُسمح بإضافة مساهمة يومية إلا لمشروع لديه عجز فعلي بعد احتساب الحركة اليومية (وليس بشكل عام) — محاولة إضافة مساهمة لمشروع في حالة فائض يجب أن تُرفض.</t>
  </si>
  <si>
    <t>• الدين الإداري المتراكم يجب أن يُعرض كحقل في الصحيفة اليومية نفسها (وليس فقط في صفحات الدين المنفصلة)، ويُحدَّث تلقائيًا يومًا بيوم، ولا يُعدَّل يدويًا من داخلها.</t>
  </si>
  <si>
    <t>• حالتا تكوين الدين الإداري في الوثيقة مستقلتان عن بعضهما وليستا نفس المعادلة: دين (١) تغطية عجز الصندوق = أصغر (النسبة الإدارية المحتسبة لليوم، العجز الكلي قبل المساهمة). دين (٢) تجاوز المصروف الإداري للنسبة الإدارية = يُحسب بمقارنة مباشرة بين المصروف الإداري ونسبة اليوم فقط، بغض النظر عن صافي اليوم الكلي — أي أن دين (٢) يمكن أن يتكوّن حتى لو كان المشروع محققًا لفائض ذلك اليوم (تم التحقق بمثال رقمي: دخل 416.67، نسبة إدارية 50، مصروف إداري 80 → دين=50 رغم أن صافي اليوم=286.67 موجب). انظر شيت (1) الصف 11.</t>
  </si>
  <si>
    <t>• منفصلة تمامًا عن ذلك: حالة 'عجز رصيد النسبة الإدارية' على مستوى المؤسسة ككل (عندما يتجاوز إجمالي المصروف الإداري اليومي رصيد النسبة الإدارية العام المتاح) — هذه لا تُنشئ أي دين على أي مشروع بعينه، فقط تنبيه على مستوى المؤسسة.</t>
  </si>
  <si>
    <t>نقاط مفتوحة لم تُحسم بعد</t>
  </si>
  <si>
    <t>فهرس الشيتات</t>
  </si>
  <si>
    <t>▸ الصحيفة اليومية - المحرك الأساسي — سلسلة الحساب اليومي لكل مشروع (النسبة الإدارية، الاستقطاع التشغيلي، الإجمالي)</t>
  </si>
  <si>
    <t>▸ تغيير النسب أثناء الشهر — سيناريوهات تعديل الإعدادات منتصف الشهر وأثرها على البيانات القديمة والجديدة</t>
  </si>
  <si>
    <t>▸ النسبة الإدارية والصندوق الإداري — صفحة أسعار الإدارة وصفحة الصندوق الإداري (5.11)</t>
  </si>
  <si>
    <t>▸ الصندوق التشغيلي — الوارد/الصادر/الصافي التشغيلي اليومي والشهري (5.12)</t>
  </si>
  <si>
    <t>▸ الدين الإداري والتسوية — تكوين الدين، أولويات السداد، الحد الأقصى للاسترداد</t>
  </si>
  <si>
    <t>▸ محطة الصندوق - الترحيل الشهري — ترحيل الفائض/العجز بين الأشهر (5.7)</t>
  </si>
  <si>
    <t>▸ المساهمات بين المشاريع — الحد الأقصى للمساهمة والتأثير على الطرفين</t>
  </si>
  <si>
    <t>▸ المخزون - FIFO ونوع المصروف — احتساب الرصيد وتوزيع المصروف تشغيلي/إداري</t>
  </si>
  <si>
    <t>▸ قائمة الاتساق بين الصفحات — نموذج تسوية يدوي للقيم التي يجب أن تتطابق عبر عدة صفحات</t>
  </si>
  <si>
    <t>1) الصحيفة اليومية — المحرك الأساسي لحساب الإجمالي اليومي والدين الإداري</t>
  </si>
  <si>
    <t>الإجمالي = (الدخل اليومي + المساهمة) − المصروف اليومي − المصروف الإداري − الاستقطاع التشغيلي − النسبة الإدارية  |  دين (١) تغطية عجز = أصغر (النسبة الإدارية، العجز قبل المساهمة)  |  دين (٢) تجاوز المصروف الإداري = إذا كان المصروف الإداري &gt; النسبة الإدارية لليوم فالدين = النسبة الإدارية، بغض النظر عن صافي اليوم الكلي  |  المساهمة تُضاف كاملة كدين، ولا تُقبل إلا مع وجود عجز فعلي</t>
  </si>
  <si>
    <t>#</t>
  </si>
  <si>
    <t>التصنيف</t>
  </si>
  <si>
    <t>الوصف</t>
  </si>
  <si>
    <t>معفى من
النسبة الإدارية؟</t>
  </si>
  <si>
    <t>نوع الاستقطاع
التشغيلي</t>
  </si>
  <si>
    <t>الدخل
اليومي</t>
  </si>
  <si>
    <t>إجمالي وارد
المشاريع المشاركة
(نسبي فقط)</t>
  </si>
  <si>
    <t>القيمة الأساسية
للتشغيلي
(نسبي، افتراضي 1081)</t>
  </si>
  <si>
    <t>قيمة الاستقطاع
الثابت
(ثابت فقط)</t>
  </si>
  <si>
    <t>المساهمة</t>
  </si>
  <si>
    <t>المصروف
اليومي</t>
  </si>
  <si>
    <t>المصروف
الإداري</t>
  </si>
  <si>
    <t>النسبة الإدارية
(متوقع)</t>
  </si>
  <si>
    <t>الاستقطاع
التشغيلي (متوقع)</t>
  </si>
  <si>
    <t>الإجمالي
(متوقع)</t>
  </si>
  <si>
    <t>الدين المتراكم
من الأمس</t>
  </si>
  <si>
    <t>المساهمة
مسموحة؟</t>
  </si>
  <si>
    <t>دين (١) تغطية
عجز (متوقع)</t>
  </si>
  <si>
    <t>دين (٢) تجاوز
المصروف الإداري
(متوقع)</t>
  </si>
  <si>
    <t>دين ناتج عن
المساهمة (متوقع)</t>
  </si>
  <si>
    <t>إجمالي الدين
الجديد اليوم</t>
  </si>
  <si>
    <t>الدين المتراكم
بعد اليوم (متوقع)</t>
  </si>
  <si>
    <t>الإجمالي الفعلي
- Backend</t>
  </si>
  <si>
    <t>الإجمالي الفعلي
- Frontend</t>
  </si>
  <si>
    <t>التطابق</t>
  </si>
  <si>
    <t>مسار عادي</t>
  </si>
  <si>
    <t>نسبي، غير معفى، بدون مساهمة/مصروف إداري</t>
  </si>
  <si>
    <t>نسبي</t>
  </si>
  <si>
    <t>ثابت (مشروع سقيا ماء، مثال الوثيقة 154)</t>
  </si>
  <si>
    <t>ثابت</t>
  </si>
  <si>
    <t>معفى من التشغيلي فقط (مثل الزكاة) وخاضع للإداري</t>
  </si>
  <si>
    <t>معفى</t>
  </si>
  <si>
    <t>معفى من النسبة الإدارية فقط، ثابت تشغيليًا</t>
  </si>
  <si>
    <t>كل الحقول غير صفرية</t>
  </si>
  <si>
    <t>اختبار الصيغة الكاملة الستة الحدود معًا (عجز قبل المساهمة، ثم مساهمة تغطيه وتزيد)</t>
  </si>
  <si>
    <t>حافة (Edge)</t>
  </si>
  <si>
    <t>دخل صفر — كل شيء يجب أن يصفر</t>
  </si>
  <si>
    <t>حافة (Edge) + ترحيل دين</t>
  </si>
  <si>
    <t>عجز — نفس مثال الوثيقة (نسبة إدارية 24) — ودين سابق مرحّل من الأمس</t>
  </si>
  <si>
    <t>تقريب (Rounding)</t>
  </si>
  <si>
    <t>دخل ينتج كسر عشري في النسبة الإدارية (12.35 × 12%)</t>
  </si>
  <si>
    <t>دخل ينتج كسر عشري في الاستقطاع النسبي (333/1000×1081)</t>
  </si>
  <si>
    <t>حدّي (Boundary)</t>
  </si>
  <si>
    <t>معفى من النسبة الإدارية، مساهمة تغطي العجز بالكامل تمامًا (صفر بالضبط، بدون تعقيد الدين التلقائي)</t>
  </si>
  <si>
    <t>مستقل عن الصافي الكلي</t>
  </si>
  <si>
    <t>مثال الوثيقة تمامًا (دين ٢): مصروف إداري 80 &gt; نسبة إدارية 50 → دين=50، رغم أن صافي اليوم الكلي موجب/فائض</t>
  </si>
  <si>
    <t>المشروع يمثل 100% من وعاء التوزيع النسبي وقد يتجاوز القاعدة دخله</t>
  </si>
  <si>
    <t>مشروع كبير ضمن وعاء توزيع بقاعدة صغيرة نسبيًا</t>
  </si>
  <si>
    <t>غير صالح (Should-Reject)</t>
  </si>
  <si>
    <t>دخل سالب — يجب أن يمنع النظام الحفظ ولا يُحتسب كرقم</t>
  </si>
  <si>
    <t>غير مسموح (Should-Reject)</t>
  </si>
  <si>
    <t>محاولة مساهمة لمشروع في حالة فائض فعلي (بدون عجز) — يجب أن يمنع النظام الحفظ</t>
  </si>
  <si>
    <t>2) تغيير النسب أثناء الشهر — اختبار عدم إعادة احتساب السجلات التاريخية</t>
  </si>
  <si>
    <t>مرجع: §5.5 — تعديل إعدادات الخصم التشغيلي/الإعفاء الإداري يُطبَّق على العمليات المستقبلية فقط، ولا يُعاد احتساب الحركات التاريخية</t>
  </si>
  <si>
    <t>السيناريو</t>
  </si>
  <si>
    <t>الخطوات</t>
  </si>
  <si>
    <t>النتيجة المتوقعة</t>
  </si>
  <si>
    <t>الفعلي
- Backend</t>
  </si>
  <si>
    <t>الفعلي
- Frontend</t>
  </si>
  <si>
    <t>تعديل النسبة الإدارية (12% → 15%) ثم مراجعة يوم سابق</t>
  </si>
  <si>
    <t>1. تسجيل يوم بدخل 1000 (نسبة إدارية محتسبة = 120 عند 12%).
2. تغيير النسبة الإدارية في إعدادات النظام إلى 15%.
3. فتح نفس اليوم السابق ومراجعة قيمة النسبة الإدارية المعروضة.</t>
  </si>
  <si>
    <t>يجب أن تبقى القيمة المعروضة 120 (كما احتُسبت وقت التنفيذ)، ولا تتغير إلى 150.</t>
  </si>
  <si>
    <t>تعديل النسبة الإدارية ثم تسجيل يوم جديد</t>
  </si>
  <si>
    <t>بعد نفس التغيير أعلاه، تسجيل يوم جديد بدخل 1000.</t>
  </si>
  <si>
    <t>يجب أن تكون النسبة الإدارية المحتسبة لليوم الجديد = 150 (بالنسبة الجديدة 15%).</t>
  </si>
  <si>
    <t>الإجمالي الشهري بعد تغيير النسبة منتصف الشهر</t>
  </si>
  <si>
    <t>بعد تغيير النسبة من 12% إلى 15% في اليوم 16 من الشهر، مراجعة إجمالي النسبة الإدارية الشهري في صفحتي 'أسعار الإدارة' و'محطة الصندوق'.</t>
  </si>
  <si>
    <t>يجب أن يكون المجموع الشهري = مجموع القيم الفعلية المخزّنة لكل يوم (خليط من 12% و15%)، وليس (إجمالي وارد الشهر × 15%) بالنسبة الحالية فقط — أي اختبار مباشر لكون الصفحة تجمع القيم المحفوظة وليست تعيد احتسابها بالنسبة الحالية.</t>
  </si>
  <si>
    <t>تعديل القيمة الأساسية للاستقطاع التشغيلي (1081) منتصف الشهر</t>
  </si>
  <si>
    <t>1. تسجيل أيام بالقاعدة 1081.
2. تغيير القيمة الأساسية إلى 1200.
3. مراجعة الاستقطاع التشغيلي لأيام قبل وبعد التغيير.</t>
  </si>
  <si>
    <t>الأيام السابقة للتغيير تبقى محسوبة بالقاعدة 1081، والأيام اللاحقة تُحتسب بالقاعدة 1200.</t>
  </si>
  <si>
    <t>إعفاء مشروع من النسبة الإدارية منتصف الشهر</t>
  </si>
  <si>
    <t>1. تسجيل أيام والمشروع خاضع للنسبة الإدارية.
2. تفعيل إعفاء المشروع من النسبة الإدارية.
3. مراجعة الأيام السابقة واللاحقة للإعفاء.</t>
  </si>
  <si>
    <t>الأيام السابقة للإعفاء تبقى خاضعة للنسبة الإدارية بقيمتها المحتسبة وقتها، والأيام اللاحقة للإعفاء تظهر بنسبة إدارية = صفر.</t>
  </si>
  <si>
    <t>تعديل دخل يوم سابق بعد تغيّر النسبة (تم الحسم)</t>
  </si>
  <si>
    <t>1. تسجيل يوم بدخل 1000 عند نسبة 12% (نسبة إدارية = 120).
2. تغيير النسبة إلى 15%.
3. الرجوع لنفس اليوم السابق وتعديل قيمة الدخل إلى 2000 (تعديل بيانات فقط، وليس تغيير إعداد).</t>
  </si>
  <si>
    <t>مؤكَّد من صاحب الوثيقة: يُعاد الاحتساب بالنسبة التي كانت سارية وقت اليوم الأصلي نفسه (12%) — أي النسبة الإدارية الجديدة بعد التعديل = 2000×12% = 240، وليس 2000×15% = 300.</t>
  </si>
  <si>
    <t>3أ) صفحة أسعار الإدارة — النسبة الإدارية = إجمالي الوارد الكلي × 12%</t>
  </si>
  <si>
    <t>الوارد الكلي يشمل فقط المشاريع الخاضعة للنسبة الإدارية (وارد المشاريع المعفاة يُستبعد)</t>
  </si>
  <si>
    <t>إجمالي الوارد
الكلي (خاضع فقط)</t>
  </si>
  <si>
    <t>وارد كلي بسيط، بدون كسور</t>
  </si>
  <si>
    <t>وارد ينتج كسر عشري (833.33 → تقريب)</t>
  </si>
  <si>
    <t>وارد صفر (لا مشاريع خاضعة اليوم)</t>
  </si>
  <si>
    <t>3ب) صفحة الصندوق الإداري (5.11) — إجمالي الوارد / إجمالي الصادر / الصافي الإداري</t>
  </si>
  <si>
    <t>إجمالي الوارد = إداري المشروعات + مساهمة الصناديق + مساهمة أفراد + استرداد الديون  |  إجمالي الصادر = إداري تشغيلي + إداري أصول  |  الصافي الإداري = إجمالي الوارد − إجمالي الصادر</t>
  </si>
  <si>
    <t>إداري المشروعات</t>
  </si>
  <si>
    <t>مساهمة
الصناديق</t>
  </si>
  <si>
    <t>مساهمة
أفراد</t>
  </si>
  <si>
    <t>استرداد
الديون</t>
  </si>
  <si>
    <t>إداري
تشغيلي</t>
  </si>
  <si>
    <t>إداري
أصول</t>
  </si>
  <si>
    <t>إجمالي
الوارد
(متوقع)</t>
  </si>
  <si>
    <t>إجمالي
الصادر (متوقع)</t>
  </si>
  <si>
    <t>الصافي
الإداري (متوقع)</t>
  </si>
  <si>
    <t>القيم في الجدول (ب) مأخوذة فعليًا من ملف الإكسل الحقيقي (شيت 'النسبة الادارية') للتحقق من أن معادلات النظام تعيد نفس نتائج ملف الإكسل المرجعي المستخدم حاليًا.</t>
  </si>
  <si>
    <t>4) الصندوق التشغيلي — الوارد التشغيلي = الأساسي + مجموع الخصومات الثابتة</t>
  </si>
  <si>
    <t>صافي التشغيلي (اليوم) = الوارد − الصادر  |  الفائض/العجز يُرحَّل تلقائيًا للأيام التالية داخل نفس الشهر فقط، ولا يُرحَّل بين الأشهر (على عكس محطة الصندوق على مستوى المشروع)</t>
  </si>
  <si>
    <t>التشغيلي
الأساسي</t>
  </si>
  <si>
    <t>مجموع الخصومات
الثابتة للمشاريع</t>
  </si>
  <si>
    <t>الصادر
التشغيلي الفعلي</t>
  </si>
  <si>
    <t>الرصيد المرحّل
من الأمس (داخل
نفس الشهر)</t>
  </si>
  <si>
    <t>الوارد التشغيلي
(متوقع)</t>
  </si>
  <si>
    <t>الرصيد بعد اليوم
(متوقع)</t>
  </si>
  <si>
    <t>الحالة</t>
  </si>
  <si>
    <t>يوم 1 من الشهر — لا يوجد رصيد مرحّل بعد</t>
  </si>
  <si>
    <t>يوم بخصم ثابت لمشروع سقيا (154)</t>
  </si>
  <si>
    <t>يوم بعدة خصومات ثابتة (154+300)</t>
  </si>
  <si>
    <t>عجز تشغيلي في اليوم (بدون رصيد سابق)</t>
  </si>
  <si>
    <t>صافي اليوم = صفر بالضبط (حدّي، بدون رصيد سابق)</t>
  </si>
  <si>
    <t>يوم 2 من نفس الشهر — يستلم رصيد عجز مُرحَّل من يوم 1 تلقائيًا</t>
  </si>
  <si>
    <t>يوم 3 من نفس الشهر — فائض جديد يغطي جزءًا من العجز المرحّل من الأيام السابقة</t>
  </si>
  <si>
    <t>الصفوف 6 و7 توضح الترحيل التلقائي يومًا بعد يوم داخل نفس الشهر (عمود 'الرصيد المرحّل من الأمس' = عمود 'الرصيد بعد اليوم' لليوم السابق). اختبار إجرائي إضافي: سجّل عجزًا تشغيليًا في اليوم الأخير من الشهر، ثم افتح أول يوم من الشهر التالي — يجب ألا يظهر أي ترحيل لهذا العجز إلى الشهر الجديد (عمود 'الرصيد المرحّل من الأمس' يجب أن يبدأ من صفر). هذا يختلف عمدًا عن سلوك 'محطة الصندوق' على مستوى المشروع الذي يرحّل الفائض/العجز بين الأشهر.</t>
  </si>
  <si>
    <t>5) الدين الإداري والتسوية</t>
  </si>
  <si>
    <t>تكوين الدين على مستوى المشروع (نفس المعادلة الموحدة في الحالتين 1 و2 من الوثيقة): دين اليوم = أصغر (النسبة الإدارية المحتسبة لليوم، العجز قبل المساهمة). منفصل تمامًا عنها: 'عجز رصيد النسبة الإدارية' على مستوى المؤسسة ككل — لا ينشئ أي دين على أي مشروع. أولوية السداد: عجز الصندوق ← الدين الإداري الحالي ← الدين المرحّل. الحد الأقصى للاسترداد = أصغر (الفائض المتاح، الدين المستحق).</t>
  </si>
  <si>
    <t>المدخلات</t>
  </si>
  <si>
    <t>الفعلي
(Backend/Frontend)</t>
  </si>
  <si>
    <t>[مستوى المشروع] تغطية عجز الصندوق من النسبة الإدارية (مثال 1 بالوثيقة)</t>
  </si>
  <si>
    <t>دخل المشروع = 200، النسبة الإدارية 12% → 24، يوجد عجز في صافي صندوق المشروع</t>
  </si>
  <si>
    <t>يُستخدم كامل مبلغ 24 من النسبة الإدارية لتغطية العجز، ويُسجَّل دين إداري = 24 على المشروع.</t>
  </si>
  <si>
    <t>[مستوى المشروع] مصروف إداري يتجاوز النسبة الإدارية المحتسبة لنفس اليوم (مثال 2 بالوثيقة — نفس معادلة الحالة 1 بالضبط)</t>
  </si>
  <si>
    <t>النسبة الإدارية لليوم = 50، المصروف الإداري (من حركات صادر المخزون المصنفة 'مصروف إداري') = 80</t>
  </si>
  <si>
    <t>يستخدم النظام 50 (أصغر القيمتين) من النسبة الإدارية لتغطية جزء من المصروف، ويُسجَّل دين إداري = 50 على المشروع — يتحقق هذا الصف أن نفس معادلة الحالة رقم 1 تُطبَّق هنا (أصغر (النسبة الإدارية، العجز)) وليست قاعدة مختلفة.</t>
  </si>
  <si>
    <t>[مستوى المؤسسة — منفصل تمامًا] عدم كفاية رصيد النسبة الإدارية العام لتغطية إجمالي المصروف الإداري اليومي</t>
  </si>
  <si>
    <t>رصيد النسبة الإدارية المتاح على مستوى المؤسسة = 1000، إجمالي المصروف الإداري اليومي (عبر كل المشاريع) = 1300</t>
  </si>
  <si>
    <t>يُخصم 1000 من رصيد النسبة الإدارية، ويظهر تنبيه 'عجز في رصيد النسبة الإدارية' بقيمة 300 على مستوى المؤسسة — ولا يُسجَّل أي دين إداري على أي مشروع محدد (هذا مفهوم مختلف تمامًا عن الحالتين 1 و2 أعلاه، رغم تشابه الأرقام).</t>
  </si>
  <si>
    <t>الحد الأقصى للاسترداد عند التسوية</t>
  </si>
  <si>
    <t>فائض المشروع المتاح = 500، الدين الإداري المستحق = 800</t>
  </si>
  <si>
    <t>أقصى مبلغ يمكن استرداده = 500 (أصغر القيمتين)، ويتبقى دين = 300 بعد التسوية.</t>
  </si>
  <si>
    <t>الحد الأقصى للاسترداد — الحالة العكسية</t>
  </si>
  <si>
    <t>فائض المشروع المتاح = 900، الدين الإداري المستحق = 300</t>
  </si>
  <si>
    <t>أقصى مبلغ يمكن استرداده = 300 (كامل الدين)، ويصبح الدين المتبقي = صفر، ولا يُسمح بسحب الـ600 المتبقية من الفائض كتسوية دين.</t>
  </si>
  <si>
    <t>أولوية السداد عند وجود عجز صندوق + دين حالي + دين مرحّل معًا</t>
  </si>
  <si>
    <t>فائض متاح = 1000، عجز صندوق حالي = 200، دين إداري حالي = 300، دين إداري مرحّل = 600</t>
  </si>
  <si>
    <t>الترتيب: أولًا سداد عجز الصندوق (200) → المتبقي 800 لسداد الدين الحالي (300) → المتبقي 500 لسداد جزء من الدين المرحّل (500 من 600) → يتبقى دين مرحّل = 100.</t>
  </si>
  <si>
    <t>محاولة تسوية بدون فائض متاح</t>
  </si>
  <si>
    <t>فائض المشروع = 0 أو سالب، دين إداري مستحق = 500</t>
  </si>
  <si>
    <t>يجب ألا يسمح النظام بتنفيذ عملية السداد إطلاقًا.</t>
  </si>
  <si>
    <t>الحد الأقصى للمساهمة اليومية (تغطية عجز من النسبة الإدارية)</t>
  </si>
  <si>
    <t>العجز المتبقي للمشروع = 150، رصيد النسبة الإدارية المتاح = 400</t>
  </si>
  <si>
    <t>الحد الأقصى للمساهمة = 150 (أصغر القيمتين: العجز أو الرصيد المتاح) — إدخال قيمة أكبر من 150 يجب أن يُرفض مع رسالة توضح الحد الأقصى.</t>
  </si>
  <si>
    <t>رفض المساهمة عند عدم وجود عجز فعلي (قاعدة مؤكَّدة)</t>
  </si>
  <si>
    <t>صافي حركة المشروع اليوم (قبل أي مساهمة) = فائض +300 وليس عجزًا</t>
  </si>
  <si>
    <t>يجب أن يمنع النظام إضافة أي مساهمة يومية لهذا المشروع اليوم، بغض النظر عن المبلغ المدخل — لأن المساهمة لا تُتاح إلا لمشروع لديه عجز فعلي بعد احتساب الحركة اليومية.</t>
  </si>
  <si>
    <t>سداد جزء من الدين المرحّل لا يُخصم مرتين من النسبة الإدارية</t>
  </si>
  <si>
    <t>دين مرحّل من الشهر السابق = 400 (تم خصمه من النسبة الإدارية عند تكوينه في حينه)، فائض هذا الشهر = 400</t>
  </si>
  <si>
    <t>عند السداد، تُضاف قيمة السداد (400) إلى رصيد النسبة الإدارية ويُخفَّض الدين المرحّل بنفس القيمة — ويُتحقق أن الخصم الأصلي من النسبة الإدارية لا يتكرر مرة أخرى عند هذا السداد.</t>
  </si>
  <si>
    <t>6) محطة الصندوق (§5.7) — ترحيل الفائض/العجز بين الأشهر</t>
  </si>
  <si>
    <t>الصفحة مبنية بالفعل في النظام الحالي (تم التأكيد) — يمكن اختبار هذا الشيت كنظام حي. الأمثلة أدناه من نص الوثيقة نفسه.</t>
  </si>
  <si>
    <t>الإجمالي الشهري
السابق (مرحّل)</t>
  </si>
  <si>
    <t>نتيجة الشهر
الجديد</t>
  </si>
  <si>
    <t>الرصيد بعد
الاحتساب (متوقع)</t>
  </si>
  <si>
    <t>نوع الحالة</t>
  </si>
  <si>
    <t>فائض مرحّل يغطي عجزًا جديدًا جزئيًا (مثال الوثيقة)</t>
  </si>
  <si>
    <t>عجز مرحّل يُخفَّض بفائض جديد غير كافٍ (مثال الوثيقة)</t>
  </si>
  <si>
    <t>عجز جديد أكبر من الفائض المرحّل — يتحول الرصيد لعجز</t>
  </si>
  <si>
    <t>فائض جديد يغطي العجز المرحّل بالكامل تمامًا (حدّي: يساوي صفر)</t>
  </si>
  <si>
    <t>لا يوجد رصيد مرحّل (أول شهر للمشروع)</t>
  </si>
  <si>
    <t>اختبار إضافي مطلوب: بعد الترحيل، أي تعديل على شهر سابق تم ترحيله يجب أن يُعيد احتساب أرصدة الشهور التالية تلقائيًا (منصوص عليه صراحة في الوثيقة) — يُختبر إجرائيًا: عدّل يوماً في شهر مُرحَّل بالفعل وتحقق من تحرك الرصيد في الشهر التالي.</t>
  </si>
  <si>
    <t>7) المساهمات الشهرية بين المشاريع</t>
  </si>
  <si>
    <t>الحد الأقصى للمساهمة = Min(فائض المشروع المساهم، قيمة العجز أو الدين الإداري المتبقي بالمشروع المستفيد). يشترط أن يكون المشروعان من نفس نوع المشروع/فئة النشاط (حقل واحد مؤكَّد). المساهمة الجزئية مسموحة.</t>
  </si>
  <si>
    <t>فائض المشروع
المساهم</t>
  </si>
  <si>
    <t>عجز/دين المشروع
المستفيد</t>
  </si>
  <si>
    <t>نفس النوع؟</t>
  </si>
  <si>
    <t>الحد الأقصى
للمساهمة (متوقع)</t>
  </si>
  <si>
    <t>اختبار إجرائي إضافي: بعد تنفيذ مساهمة ثم إلغاؤها، تحقق أن القيمة تعود بالكامل كـ'مساهمة غير مخصومة' للمشروع الممول (وليس كفائض جديد يُحتسب ضمن حركة الشهر)، وأن صافي الصندوق لكلا المشروعين يُعاد احتسابه فور الإلغاء.</t>
  </si>
  <si>
    <t>8أ) رصيد المخزون — الرصيد الحالي = الرصيد السابق − الكمية المنصرفة</t>
  </si>
  <si>
    <t>لا يجوز تنفيذ صادر بكمية أكبر من الرصيد المتاح. التسعير يعتمد آلية FIFO (أقدم وارد يُصرف أولًا).</t>
  </si>
  <si>
    <t>الرصيد الحالي
قبل الصرف</t>
  </si>
  <si>
    <t>الكمية
المنصرفة</t>
  </si>
  <si>
    <t>الرصيد الجديد
(متوقع)</t>
  </si>
  <si>
    <t>الفعلي</t>
  </si>
  <si>
    <t>مثال الوثيقة تمامًا (125 − 20)</t>
  </si>
  <si>
    <t>صرف يساوي كامل الرصيد المتاح (حدّي)</t>
  </si>
  <si>
    <t>محاولة صرف أكبر من الرصيد المتاح — يجب الرفض</t>
  </si>
  <si>
    <t>8ب) تصنيف الصادر: تشغيلي مقابل إداري (مثال الوثيقة — مشروع كسوة)</t>
  </si>
  <si>
    <t>الكمية ضمن احتياج المشروع الفعلي = مصروف تشغيلي (يُحمَّل على المشروع). الكمية الزائدة عن الاحتياج = مصروف إداري (يُحمَّل على النسبة الإدارية).</t>
  </si>
  <si>
    <t>الكمية المطلوبة
للمشروع فعليًا</t>
  </si>
  <si>
    <t>الكمية المصروفة
إجمالًا</t>
  </si>
  <si>
    <t>تشغيلي
(متوقع)</t>
  </si>
  <si>
    <t>إداري
(متوقع)</t>
  </si>
  <si>
    <t>مثال الوثيقة تمامًا (50 تشغيلي + 5 إداري)</t>
  </si>
  <si>
    <t>الكمية المصروفة تساوي الاحتياج تمامًا — إداري = صفر (حدّي)</t>
  </si>
  <si>
    <t>لا يوجد احتياج مسجَّل للمشروع — كامل الكمية إداري</t>
  </si>
  <si>
    <t>9) قائمة الاتساق بين الصفحات — نموذج تسوية يدوي</t>
  </si>
  <si>
    <t>لكل قيمة، افتح الصفحتين المذكورتين لنفس الشهر/اليوم على النظام الفعلي وسجّل ما تعرضه كل صفحة — يجب أن تتطابق القيمتان دائمًا</t>
  </si>
  <si>
    <t>القيمة</t>
  </si>
  <si>
    <t>تظهر في الصفحات</t>
  </si>
  <si>
    <t>القيمة في
الصفحة (1)</t>
  </si>
  <si>
    <t>القيمة في
الصفحة (2)</t>
  </si>
  <si>
    <t>إجمالي النسبة الإدارية للشهر</t>
  </si>
  <si>
    <t>الصحيفة اليومية (مجموع الأيام) ↔ صفحة أسعار الإدارة ↔ الصندوق الإداري (5.11) ↔ مركز التقارير</t>
  </si>
  <si>
    <t>الدين الإداري المستحق على مشروع معيّن</t>
  </si>
  <si>
    <t>الصحيفة اليومية (وقت تكوين الدين) ↔ صفحة تسوية الديون الإدارية ↔ محطة الصندوق (عمود الدين المتبقي) ↔ الملخص الشهري</t>
  </si>
  <si>
    <t>صافي الصندوق لمشروع معيّن في تاريخ معيّن</t>
  </si>
  <si>
    <t>الصحيفة اليومية (نفس اليوم) ↔ محطة الصندوق (نفس الشهر) ↔ الملخص الشهري (البطاقة)</t>
  </si>
  <si>
    <t>إجمالي الاستقطاع التشغيلي للشهر</t>
  </si>
  <si>
    <t>الصحيفة اليومية (مجموع الأيام) ↔ صفحة المعدل التشغيلي ↔ الصندوق التشغيلي ↔ مركز التقارير</t>
  </si>
  <si>
    <t>رصيد النسبة الإدارية المتاح (بعد المساهمات والديون)</t>
  </si>
  <si>
    <t>صفحة أسعار الإدارة ↔ نافذة إضافة مساهمة يومية (الحد الأقصى المعروض) ↔ الصندوق الإداري</t>
  </si>
  <si>
    <t>إجمالي مساهمات المشروع خلال الشهر</t>
  </si>
  <si>
    <t>إدارة المساهمات بين المشاريع ↔ الملخص الشهري (بطاقة المشروع) ↔ محطة الصندوق (عمود مساهمة مضافة/مخصومة)</t>
  </si>
  <si>
    <t>إجمالي المصروف الإداري من المخزون لمشروع في يوم معيّن</t>
  </si>
  <si>
    <t>حركات المخزون (نوع المصروف = إداري) ↔ الصحيفة اليومية (عمود المصروف الإداري) ↔ الصندوق الإداري (إداري أصول/تشغيلي حسب التصنيف)</t>
  </si>
  <si>
    <t>إجمالي وارد/مصروف/صافي المشروع خلال فترة</t>
  </si>
  <si>
    <t>مصروفات الصناديق (تجميع يومي) ↔ مركز التقارير (وارد المشاريع الشهري) ↔ التقارير المتقدمة</t>
  </si>
  <si>
    <t>ملاحظات: (1) عمود 'الدين المتراكم بعد اليوم' هو الحقل الذي يُعرض فعليًا في الصحيفة اليومية كـ'الدين المتراكم' (حسب الوثيقة، للعرض فقط ولا يُعدَّل يدويًا)</t>
  </si>
  <si>
    <t>• تقاطع دين (١) [تغطية عجز الصندوق] ودين (٢) [تجاوز المصروف الإداري] عند تفعّل الشرطين معًا لنفس المشروع في نفس اليوم:  يوجد سقف واحد مشترك لا يتجاوز النسبة الإدارية الفعلية لليوم .</t>
  </si>
  <si>
    <t>• عندما يتزامن دين (١) مع مساهمة يدوية في نفس اليوم — الحد الأقصى المسموح للمساهمة يُحسب من العجز المتبقي بعد خصم دين (١) أولًا؟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</si>
</sst>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8" x14ac:knownFonts="1">
    <font>
      <sz val="11"/>
      <color theme="1"/>
      <name val="Calibri"/>
      <family val="2"/>
      <charset val="1"/>
    </font>
    <font>
      <b/>
      <sz val="14"/>
      <color rgb="FF1F4E78"/>
      <name val="Arial"/>
      <charset val="1"/>
    </font>
    <font>
      <i/>
      <sz val="10"/>
      <color rgb="FF595959"/>
      <name val="Arial"/>
      <charset val="1"/>
    </font>
    <font>
      <b/>
      <sz val="10"/>
      <color rgb="FF000000"/>
      <name val="Arial"/>
      <charset val="1"/>
    </font>
    <font>
      <sz val="10"/>
      <color rgb="FF000000"/>
      <name val="Arial"/>
      <charset val="1"/>
    </font>
    <font>
      <sz val="10"/>
      <color rgb="FF0000FF"/>
      <name val="Arial"/>
      <charset val="1"/>
    </font>
    <font>
      <b/>
      <sz val="10"/>
      <color rgb="FFFFFFFF"/>
      <name val="Arial"/>
      <charset val="1"/>
    </font>
    <font>
      <i/>
      <sz val="9"/>
      <color rgb="FF7F7F7F"/>
      <name val="Arial"/>
      <charset val="1"/>
    </font>
  </fonts>
  <fills count="5">
    <fill>
      <patternFill patternType="none"/>
    </fill>
    <fill>
      <patternFill patternType="gray125"/>
    </fill>
    <fill>
      <patternFill patternType="solid">
        <fgColor rgb="FFFFF2CC"/>
        <bgColor rgb="FFFCE4D6"/>
      </patternFill>
    </fill>
    <fill>
      <patternFill patternType="solid">
        <fgColor rgb="FFFCE4D6"/>
        <bgColor rgb="FFFFF2CC"/>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7" fillId="0" borderId="0" xfId="0" applyFont="1" applyAlignment="1">
      <alignment horizontal="right" vertical="center" wrapText="1"/>
    </xf>
    <xf numFmtId="0" fontId="4" fillId="3" borderId="0" xfId="0" applyFont="1" applyFill="1" applyAlignment="1">
      <alignment horizontal="right" vertical="center" wrapText="1"/>
    </xf>
    <xf numFmtId="0" fontId="4" fillId="2" borderId="0" xfId="0" applyFont="1" applyFill="1" applyAlignment="1">
      <alignment horizontal="right" vertical="center" wrapText="1"/>
    </xf>
    <xf numFmtId="0" fontId="4" fillId="0" borderId="0" xfId="0" applyFont="1" applyAlignment="1">
      <alignment horizontal="right" vertical="center" wrapText="1"/>
    </xf>
    <xf numFmtId="0" fontId="2" fillId="0" borderId="0" xfId="0" applyFont="1" applyAlignment="1">
      <alignment horizontal="right" vertical="center"/>
    </xf>
    <xf numFmtId="0" fontId="1" fillId="0" borderId="0" xfId="0" applyFont="1" applyAlignment="1">
      <alignment horizontal="right" vertical="center"/>
    </xf>
    <xf numFmtId="0" fontId="3" fillId="0" borderId="0" xfId="0" applyFont="1"/>
    <xf numFmtId="0" fontId="5" fillId="0" borderId="0" xfId="0" applyFont="1"/>
    <xf numFmtId="0" fontId="4" fillId="2" borderId="0" xfId="0" applyFont="1" applyFill="1"/>
    <xf numFmtId="0" fontId="4" fillId="0" borderId="0" xfId="0" applyFont="1"/>
    <xf numFmtId="0" fontId="6"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right"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4" fillId="2" borderId="1" xfId="0" applyNumberFormat="1" applyFont="1" applyFill="1" applyBorder="1" applyAlignment="1">
      <alignment horizontal="center" vertical="center" wrapText="1"/>
    </xf>
    <xf numFmtId="0" fontId="4" fillId="2" borderId="1" xfId="0" applyFont="1" applyFill="1" applyBorder="1" applyAlignment="1">
      <alignment horizontal="right" vertical="center" wrapText="1"/>
    </xf>
    <xf numFmtId="0" fontId="4" fillId="2" borderId="0" xfId="0" applyFont="1" applyFill="1" applyAlignment="1">
      <alignment horizontal="center" vertical="center" wrapText="1"/>
    </xf>
  </cellXfs>
  <cellStyles count="1">
    <cellStyle name="Normal" xfId="0" builtinId="0"/>
  </cellStyles>
  <dxfs count="10">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rightToLeft="1" topLeftCell="A25" zoomScaleNormal="100" workbookViewId="0">
      <selection activeCell="C46" sqref="C46"/>
    </sheetView>
  </sheetViews>
  <sheetFormatPr defaultColWidth="8.7109375" defaultRowHeight="15" x14ac:dyDescent="0.25"/>
  <cols>
    <col min="1" max="1" width="4" customWidth="1"/>
    <col min="2" max="2" width="40" customWidth="1"/>
    <col min="3" max="3" width="60" customWidth="1"/>
    <col min="4" max="7" width="18" customWidth="1"/>
  </cols>
  <sheetData>
    <row r="1" spans="1:3" ht="25.5" customHeight="1" x14ac:dyDescent="0.25">
      <c r="A1" s="6" t="s">
        <v>0</v>
      </c>
      <c r="B1" s="6"/>
      <c r="C1" s="6"/>
    </row>
    <row r="2" spans="1:3" ht="18" customHeight="1" x14ac:dyDescent="0.25">
      <c r="A2" s="5" t="s">
        <v>1</v>
      </c>
      <c r="B2" s="5"/>
      <c r="C2" s="5"/>
    </row>
    <row r="4" spans="1:3" x14ac:dyDescent="0.25">
      <c r="B4" s="7" t="s">
        <v>2</v>
      </c>
    </row>
    <row r="5" spans="1:3" ht="35.1" customHeight="1" x14ac:dyDescent="0.25">
      <c r="B5" s="4" t="s">
        <v>3</v>
      </c>
      <c r="C5" s="4"/>
    </row>
    <row r="7" spans="1:3" x14ac:dyDescent="0.25">
      <c r="B7" s="7" t="s">
        <v>4</v>
      </c>
    </row>
    <row r="8" spans="1:3" x14ac:dyDescent="0.25">
      <c r="B8" s="8" t="s">
        <v>5</v>
      </c>
    </row>
    <row r="9" spans="1:3" x14ac:dyDescent="0.25">
      <c r="B9" s="9" t="s">
        <v>6</v>
      </c>
    </row>
    <row r="10" spans="1:3" x14ac:dyDescent="0.25">
      <c r="B10" s="10" t="s">
        <v>7</v>
      </c>
    </row>
    <row r="12" spans="1:3" x14ac:dyDescent="0.25">
      <c r="B12" s="7" t="s">
        <v>8</v>
      </c>
    </row>
    <row r="13" spans="1:3" ht="42" customHeight="1" x14ac:dyDescent="0.25">
      <c r="B13" s="3" t="s">
        <v>9</v>
      </c>
      <c r="C13" s="3"/>
    </row>
    <row r="14" spans="1:3" ht="42" customHeight="1" x14ac:dyDescent="0.25">
      <c r="B14" s="3" t="s">
        <v>10</v>
      </c>
      <c r="C14" s="3"/>
    </row>
    <row r="15" spans="1:3" ht="42" customHeight="1" x14ac:dyDescent="0.25">
      <c r="B15" s="3" t="s">
        <v>11</v>
      </c>
      <c r="C15" s="3"/>
    </row>
    <row r="16" spans="1:3" ht="42" customHeight="1" x14ac:dyDescent="0.25">
      <c r="B16" s="3" t="s">
        <v>12</v>
      </c>
      <c r="C16" s="3"/>
    </row>
    <row r="17" spans="2:3" ht="42" customHeight="1" x14ac:dyDescent="0.25">
      <c r="B17" s="3" t="s">
        <v>13</v>
      </c>
      <c r="C17" s="3"/>
    </row>
    <row r="18" spans="2:3" ht="42" customHeight="1" x14ac:dyDescent="0.25">
      <c r="B18" s="3" t="s">
        <v>14</v>
      </c>
      <c r="C18" s="3"/>
    </row>
    <row r="19" spans="2:3" ht="42" customHeight="1" x14ac:dyDescent="0.25">
      <c r="B19" s="3" t="s">
        <v>15</v>
      </c>
      <c r="C19" s="3"/>
    </row>
    <row r="20" spans="2:3" ht="42" customHeight="1" x14ac:dyDescent="0.25">
      <c r="B20" s="3" t="s">
        <v>16</v>
      </c>
      <c r="C20" s="3"/>
    </row>
    <row r="21" spans="2:3" ht="42" customHeight="1" x14ac:dyDescent="0.25">
      <c r="B21" s="3" t="s">
        <v>17</v>
      </c>
      <c r="C21" s="3"/>
    </row>
    <row r="22" spans="2:3" ht="42" customHeight="1" x14ac:dyDescent="0.25">
      <c r="B22" s="3" t="s">
        <v>18</v>
      </c>
      <c r="C22" s="3"/>
    </row>
    <row r="23" spans="2:3" ht="123.75" customHeight="1" x14ac:dyDescent="0.25">
      <c r="B23" s="3" t="s">
        <v>19</v>
      </c>
      <c r="C23" s="3"/>
    </row>
    <row r="24" spans="2:3" ht="42" customHeight="1" x14ac:dyDescent="0.25">
      <c r="B24" s="3" t="s">
        <v>20</v>
      </c>
      <c r="C24" s="3"/>
    </row>
    <row r="25" spans="2:3" ht="42" customHeight="1" x14ac:dyDescent="0.25">
      <c r="B25" s="20" t="s">
        <v>241</v>
      </c>
      <c r="C25" s="20"/>
    </row>
    <row r="26" spans="2:3" ht="54.75" customHeight="1" x14ac:dyDescent="0.25">
      <c r="B26" s="3" t="s">
        <v>240</v>
      </c>
      <c r="C26" s="3"/>
    </row>
    <row r="27" spans="2:3" x14ac:dyDescent="0.25">
      <c r="B27" s="7" t="s">
        <v>21</v>
      </c>
    </row>
    <row r="28" spans="2:3" ht="48" customHeight="1" x14ac:dyDescent="0.25">
      <c r="B28" s="2"/>
      <c r="C28" s="2"/>
    </row>
    <row r="29" spans="2:3" ht="48" customHeight="1" x14ac:dyDescent="0.25">
      <c r="B29" s="2"/>
      <c r="C29" s="2"/>
    </row>
    <row r="31" spans="2:3" x14ac:dyDescent="0.25">
      <c r="B31" s="7" t="s">
        <v>22</v>
      </c>
    </row>
    <row r="32" spans="2:3" ht="15" customHeight="1" x14ac:dyDescent="0.25">
      <c r="B32" s="4" t="s">
        <v>23</v>
      </c>
      <c r="C32" s="4"/>
    </row>
    <row r="33" spans="2:3" ht="15" customHeight="1" x14ac:dyDescent="0.25">
      <c r="B33" s="4" t="s">
        <v>24</v>
      </c>
      <c r="C33" s="4"/>
    </row>
    <row r="34" spans="2:3" ht="15" customHeight="1" x14ac:dyDescent="0.25">
      <c r="B34" s="4" t="s">
        <v>25</v>
      </c>
      <c r="C34" s="4"/>
    </row>
    <row r="35" spans="2:3" ht="15" customHeight="1" x14ac:dyDescent="0.25">
      <c r="B35" s="4" t="s">
        <v>26</v>
      </c>
      <c r="C35" s="4"/>
    </row>
    <row r="36" spans="2:3" ht="15" customHeight="1" x14ac:dyDescent="0.25">
      <c r="B36" s="4" t="s">
        <v>27</v>
      </c>
      <c r="C36" s="4"/>
    </row>
    <row r="37" spans="2:3" ht="15" customHeight="1" x14ac:dyDescent="0.25">
      <c r="B37" s="4" t="s">
        <v>28</v>
      </c>
      <c r="C37" s="4"/>
    </row>
    <row r="38" spans="2:3" ht="15" customHeight="1" x14ac:dyDescent="0.25">
      <c r="B38" s="4" t="s">
        <v>29</v>
      </c>
      <c r="C38" s="4"/>
    </row>
    <row r="39" spans="2:3" ht="15" customHeight="1" x14ac:dyDescent="0.25">
      <c r="B39" s="4" t="s">
        <v>30</v>
      </c>
      <c r="C39" s="4"/>
    </row>
    <row r="40" spans="2:3" ht="15" customHeight="1" x14ac:dyDescent="0.25">
      <c r="B40" s="4" t="s">
        <v>31</v>
      </c>
      <c r="C40" s="4"/>
    </row>
  </sheetData>
  <mergeCells count="28">
    <mergeCell ref="B40:C40"/>
    <mergeCell ref="B26:C26"/>
    <mergeCell ref="B25:C25"/>
    <mergeCell ref="B35:C35"/>
    <mergeCell ref="B36:C36"/>
    <mergeCell ref="B37:C37"/>
    <mergeCell ref="B38:C38"/>
    <mergeCell ref="B39:C39"/>
    <mergeCell ref="B28:C28"/>
    <mergeCell ref="B29:C29"/>
    <mergeCell ref="B32:C32"/>
    <mergeCell ref="B33:C33"/>
    <mergeCell ref="B34:C34"/>
    <mergeCell ref="B20:C20"/>
    <mergeCell ref="B21:C21"/>
    <mergeCell ref="B22:C22"/>
    <mergeCell ref="B23:C23"/>
    <mergeCell ref="B24:C24"/>
    <mergeCell ref="B15:C15"/>
    <mergeCell ref="B16:C16"/>
    <mergeCell ref="B17:C17"/>
    <mergeCell ref="B18:C18"/>
    <mergeCell ref="B19:C19"/>
    <mergeCell ref="A1:C1"/>
    <mergeCell ref="A2:C2"/>
    <mergeCell ref="B5:C5"/>
    <mergeCell ref="B13:C13"/>
    <mergeCell ref="B14:C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1"/>
  <sheetViews>
    <sheetView rightToLeft="1" zoomScaleNormal="100" workbookViewId="0">
      <pane ySplit="4" topLeftCell="A14" activePane="bottomLeft" state="frozen"/>
      <selection pane="bottomLeft" activeCell="F26" sqref="F26"/>
    </sheetView>
  </sheetViews>
  <sheetFormatPr defaultColWidth="8.7109375" defaultRowHeight="15" x14ac:dyDescent="0.25"/>
  <cols>
    <col min="1" max="1" width="6" customWidth="1"/>
    <col min="2" max="2" width="13" customWidth="1"/>
    <col min="3" max="3" width="30" customWidth="1"/>
    <col min="4" max="4" width="9" customWidth="1"/>
    <col min="5" max="6" width="11" customWidth="1"/>
    <col min="7" max="7" width="13" customWidth="1"/>
    <col min="8" max="9" width="11" customWidth="1"/>
    <col min="10" max="12" width="10" customWidth="1"/>
    <col min="13" max="15" width="11" customWidth="1"/>
    <col min="16" max="16" width="10" customWidth="1"/>
    <col min="17" max="17" width="13" customWidth="1"/>
    <col min="18" max="19" width="10" customWidth="1"/>
    <col min="20" max="20" width="11" customWidth="1"/>
    <col min="21" max="21" width="13" customWidth="1"/>
    <col min="22" max="24" width="12" customWidth="1"/>
    <col min="25" max="25" width="10" customWidth="1"/>
  </cols>
  <sheetData>
    <row r="1" spans="1:25" ht="25.5" customHeight="1" x14ac:dyDescent="0.25">
      <c r="A1" s="6" t="s">
        <v>32</v>
      </c>
      <c r="B1" s="6"/>
      <c r="C1" s="6"/>
      <c r="D1" s="6"/>
      <c r="E1" s="6"/>
      <c r="F1" s="6"/>
      <c r="G1" s="6"/>
      <c r="H1" s="6"/>
      <c r="I1" s="6"/>
      <c r="J1" s="6"/>
      <c r="K1" s="6"/>
      <c r="L1" s="6"/>
      <c r="M1" s="6"/>
      <c r="N1" s="6"/>
      <c r="O1" s="6"/>
      <c r="P1" s="6"/>
      <c r="Q1" s="6"/>
      <c r="R1" s="6"/>
      <c r="S1" s="6"/>
      <c r="T1" s="6"/>
      <c r="U1" s="6"/>
      <c r="V1" s="6"/>
      <c r="W1" s="6"/>
      <c r="X1" s="6"/>
      <c r="Y1" s="6"/>
    </row>
    <row r="2" spans="1:25" ht="18" customHeight="1" x14ac:dyDescent="0.25">
      <c r="A2" s="5" t="s">
        <v>33</v>
      </c>
      <c r="B2" s="5"/>
      <c r="C2" s="5"/>
      <c r="D2" s="5"/>
      <c r="E2" s="5"/>
      <c r="F2" s="5"/>
      <c r="G2" s="5"/>
      <c r="H2" s="5"/>
      <c r="I2" s="5"/>
      <c r="J2" s="5"/>
      <c r="K2" s="5"/>
      <c r="L2" s="5"/>
      <c r="M2" s="5"/>
      <c r="N2" s="5"/>
      <c r="O2" s="5"/>
      <c r="P2" s="5"/>
      <c r="Q2" s="5"/>
      <c r="R2" s="5"/>
      <c r="S2" s="5"/>
      <c r="T2" s="5"/>
      <c r="U2" s="5"/>
      <c r="V2" s="5"/>
      <c r="W2" s="5"/>
      <c r="X2" s="5"/>
      <c r="Y2" s="5"/>
    </row>
    <row r="4" spans="1:25" ht="42" customHeight="1" x14ac:dyDescent="0.25">
      <c r="A4" s="11" t="s">
        <v>34</v>
      </c>
      <c r="B4" s="11" t="s">
        <v>35</v>
      </c>
      <c r="C4" s="11" t="s">
        <v>36</v>
      </c>
      <c r="D4" s="11" t="s">
        <v>37</v>
      </c>
      <c r="E4" s="11" t="s">
        <v>38</v>
      </c>
      <c r="F4" s="11" t="s">
        <v>39</v>
      </c>
      <c r="G4" s="11" t="s">
        <v>40</v>
      </c>
      <c r="H4" s="11" t="s">
        <v>41</v>
      </c>
      <c r="I4" s="11" t="s">
        <v>42</v>
      </c>
      <c r="J4" s="11" t="s">
        <v>43</v>
      </c>
      <c r="K4" s="11" t="s">
        <v>44</v>
      </c>
      <c r="L4" s="11" t="s">
        <v>45</v>
      </c>
      <c r="M4" s="11" t="s">
        <v>46</v>
      </c>
      <c r="N4" s="11" t="s">
        <v>47</v>
      </c>
      <c r="O4" s="11" t="s">
        <v>48</v>
      </c>
      <c r="P4" s="11" t="s">
        <v>49</v>
      </c>
      <c r="Q4" s="11" t="s">
        <v>50</v>
      </c>
      <c r="R4" s="11" t="s">
        <v>51</v>
      </c>
      <c r="S4" s="11" t="s">
        <v>52</v>
      </c>
      <c r="T4" s="11" t="s">
        <v>53</v>
      </c>
      <c r="U4" s="11" t="s">
        <v>54</v>
      </c>
      <c r="V4" s="11" t="s">
        <v>55</v>
      </c>
      <c r="W4" s="11" t="s">
        <v>56</v>
      </c>
      <c r="X4" s="11" t="s">
        <v>57</v>
      </c>
      <c r="Y4" s="11" t="s">
        <v>58</v>
      </c>
    </row>
    <row r="5" spans="1:25" ht="45.75" customHeight="1" x14ac:dyDescent="0.25">
      <c r="A5" s="12">
        <v>1</v>
      </c>
      <c r="B5" s="13" t="s">
        <v>59</v>
      </c>
      <c r="C5" s="13" t="s">
        <v>60</v>
      </c>
      <c r="D5" s="14" t="b">
        <f>FALSE()</f>
        <v>0</v>
      </c>
      <c r="E5" s="14" t="s">
        <v>61</v>
      </c>
      <c r="F5" s="15">
        <v>1000</v>
      </c>
      <c r="G5" s="15">
        <v>5000</v>
      </c>
      <c r="H5" s="15">
        <v>1081</v>
      </c>
      <c r="I5" s="15"/>
      <c r="J5" s="15">
        <v>0</v>
      </c>
      <c r="K5" s="15">
        <v>300</v>
      </c>
      <c r="L5" s="15">
        <v>0</v>
      </c>
      <c r="M5" s="16">
        <f t="shared" ref="M5:M19" si="0">IF(F5&lt;0,"غير صالح",IF(D5=TRUE(),0,ROUND(F5*0.12,2)))</f>
        <v>120</v>
      </c>
      <c r="N5" s="16">
        <f t="shared" ref="N5:N19" si="1">IF(F5&lt;0,"غير صالح",IF(E5="معفى",0,IF(E5="ثابت",I5,IFERROR(ROUND(F5/G5*H5,2),"تحقق من القيم"))))</f>
        <v>216.2</v>
      </c>
      <c r="O5" s="17">
        <f t="shared" ref="O5:O19" si="2">IF(OR(ISTEXT(M5),ISTEXT(N5)),"—",(F5+J5)-K5-L5-N5-M5)</f>
        <v>363.8</v>
      </c>
      <c r="P5" s="15">
        <v>0</v>
      </c>
      <c r="Q5" s="12" t="str">
        <f t="shared" ref="Q5:Q19" si="3">IF(J5&lt;=0,"—",IF(OR(ISTEXT(M5),ISTEXT(N5)),"—",IF((F5-K5-L5-N5-M5)&lt;0,"✓ مسموح","❌ غير مسموح - لا عجز فعلي")))</f>
        <v>—</v>
      </c>
      <c r="R5" s="16">
        <f t="shared" ref="R5:R19" si="4">IF(OR(ISTEXT(M5),ISTEXT(N5)),"—",MIN(M5,MAX(0,-(F5-K5-L5-N5-M5))))</f>
        <v>0</v>
      </c>
      <c r="S5" s="16">
        <f t="shared" ref="S5:S19" si="5">IF(ISTEXT(M5),"—",IF(L5&gt;M5,M5,0))</f>
        <v>0</v>
      </c>
      <c r="T5" s="16">
        <f t="shared" ref="T5:T19" si="6">IF(Q5="✓ مسموح",J5,0)</f>
        <v>0</v>
      </c>
      <c r="U5" s="17">
        <f t="shared" ref="U5:U19" si="7">IF(ISTEXT(R5),"—",R5+S5+T5)</f>
        <v>0</v>
      </c>
      <c r="V5" s="17">
        <f t="shared" ref="V5:V19" si="8">IF(ISTEXT(U5),P5,P5+U5)</f>
        <v>0</v>
      </c>
      <c r="W5" s="18"/>
      <c r="X5" s="18"/>
      <c r="Y5" s="12" t="str">
        <f t="shared" ref="Y5:Y19" si="9">IF(OR(W5="",ISTEXT(O5)),"",IF(ROUND(O5,2)=ROUND(W5,2),"✓","✗ تحقق"))</f>
        <v/>
      </c>
    </row>
    <row r="6" spans="1:25" ht="45.75" customHeight="1" x14ac:dyDescent="0.25">
      <c r="A6" s="12">
        <v>2</v>
      </c>
      <c r="B6" s="13" t="s">
        <v>59</v>
      </c>
      <c r="C6" s="13" t="s">
        <v>62</v>
      </c>
      <c r="D6" s="14" t="b">
        <f>FALSE()</f>
        <v>0</v>
      </c>
      <c r="E6" s="14" t="s">
        <v>63</v>
      </c>
      <c r="F6" s="15">
        <v>1200</v>
      </c>
      <c r="G6" s="15"/>
      <c r="H6" s="15"/>
      <c r="I6" s="15">
        <v>154</v>
      </c>
      <c r="J6" s="15">
        <v>0</v>
      </c>
      <c r="K6" s="15">
        <v>900</v>
      </c>
      <c r="L6" s="15">
        <v>0</v>
      </c>
      <c r="M6" s="16">
        <f t="shared" si="0"/>
        <v>144</v>
      </c>
      <c r="N6" s="16">
        <f t="shared" si="1"/>
        <v>154</v>
      </c>
      <c r="O6" s="17">
        <f t="shared" si="2"/>
        <v>2</v>
      </c>
      <c r="P6" s="15">
        <v>0</v>
      </c>
      <c r="Q6" s="12" t="str">
        <f t="shared" si="3"/>
        <v>—</v>
      </c>
      <c r="R6" s="16">
        <f t="shared" si="4"/>
        <v>0</v>
      </c>
      <c r="S6" s="16">
        <f t="shared" si="5"/>
        <v>0</v>
      </c>
      <c r="T6" s="16">
        <f t="shared" si="6"/>
        <v>0</v>
      </c>
      <c r="U6" s="17">
        <f t="shared" si="7"/>
        <v>0</v>
      </c>
      <c r="V6" s="17">
        <f t="shared" si="8"/>
        <v>0</v>
      </c>
      <c r="W6" s="18"/>
      <c r="X6" s="18"/>
      <c r="Y6" s="12" t="str">
        <f t="shared" si="9"/>
        <v/>
      </c>
    </row>
    <row r="7" spans="1:25" ht="45.75" customHeight="1" x14ac:dyDescent="0.25">
      <c r="A7" s="12">
        <v>3</v>
      </c>
      <c r="B7" s="13" t="s">
        <v>59</v>
      </c>
      <c r="C7" s="13" t="s">
        <v>64</v>
      </c>
      <c r="D7" s="14" t="b">
        <f>FALSE()</f>
        <v>0</v>
      </c>
      <c r="E7" s="14" t="s">
        <v>65</v>
      </c>
      <c r="F7" s="15">
        <v>2000</v>
      </c>
      <c r="G7" s="15"/>
      <c r="H7" s="15"/>
      <c r="I7" s="15"/>
      <c r="J7" s="15">
        <v>0</v>
      </c>
      <c r="K7" s="15">
        <v>500</v>
      </c>
      <c r="L7" s="15">
        <v>0</v>
      </c>
      <c r="M7" s="16">
        <f t="shared" si="0"/>
        <v>240</v>
      </c>
      <c r="N7" s="16">
        <f t="shared" si="1"/>
        <v>0</v>
      </c>
      <c r="O7" s="17">
        <f t="shared" si="2"/>
        <v>1260</v>
      </c>
      <c r="P7" s="15">
        <v>0</v>
      </c>
      <c r="Q7" s="12" t="str">
        <f t="shared" si="3"/>
        <v>—</v>
      </c>
      <c r="R7" s="16">
        <f t="shared" si="4"/>
        <v>0</v>
      </c>
      <c r="S7" s="16">
        <f t="shared" si="5"/>
        <v>0</v>
      </c>
      <c r="T7" s="16">
        <f t="shared" si="6"/>
        <v>0</v>
      </c>
      <c r="U7" s="17">
        <f t="shared" si="7"/>
        <v>0</v>
      </c>
      <c r="V7" s="17">
        <f t="shared" si="8"/>
        <v>0</v>
      </c>
      <c r="W7" s="18"/>
      <c r="X7" s="18"/>
      <c r="Y7" s="12" t="str">
        <f t="shared" si="9"/>
        <v/>
      </c>
    </row>
    <row r="8" spans="1:25" ht="45.75" customHeight="1" x14ac:dyDescent="0.25">
      <c r="A8" s="12">
        <v>4</v>
      </c>
      <c r="B8" s="13" t="s">
        <v>59</v>
      </c>
      <c r="C8" s="13" t="s">
        <v>66</v>
      </c>
      <c r="D8" s="14" t="b">
        <f>TRUE()</f>
        <v>1</v>
      </c>
      <c r="E8" s="14" t="s">
        <v>63</v>
      </c>
      <c r="F8" s="15">
        <v>800</v>
      </c>
      <c r="G8" s="15"/>
      <c r="H8" s="15"/>
      <c r="I8" s="15">
        <v>100</v>
      </c>
      <c r="J8" s="15">
        <v>0</v>
      </c>
      <c r="K8" s="15">
        <v>200</v>
      </c>
      <c r="L8" s="15">
        <v>0</v>
      </c>
      <c r="M8" s="16">
        <f t="shared" si="0"/>
        <v>0</v>
      </c>
      <c r="N8" s="16">
        <f t="shared" si="1"/>
        <v>100</v>
      </c>
      <c r="O8" s="17">
        <f t="shared" si="2"/>
        <v>500</v>
      </c>
      <c r="P8" s="15">
        <v>0</v>
      </c>
      <c r="Q8" s="12" t="str">
        <f t="shared" si="3"/>
        <v>—</v>
      </c>
      <c r="R8" s="16">
        <f t="shared" si="4"/>
        <v>0</v>
      </c>
      <c r="S8" s="16">
        <f t="shared" si="5"/>
        <v>0</v>
      </c>
      <c r="T8" s="16">
        <f t="shared" si="6"/>
        <v>0</v>
      </c>
      <c r="U8" s="17">
        <f t="shared" si="7"/>
        <v>0</v>
      </c>
      <c r="V8" s="17">
        <f t="shared" si="8"/>
        <v>0</v>
      </c>
      <c r="W8" s="18"/>
      <c r="X8" s="18"/>
      <c r="Y8" s="12" t="str">
        <f t="shared" si="9"/>
        <v/>
      </c>
    </row>
    <row r="9" spans="1:25" ht="45.75" customHeight="1" x14ac:dyDescent="0.25">
      <c r="A9" s="12">
        <v>5</v>
      </c>
      <c r="B9" s="13" t="s">
        <v>67</v>
      </c>
      <c r="C9" s="13" t="s">
        <v>68</v>
      </c>
      <c r="D9" s="14" t="b">
        <f>FALSE()</f>
        <v>0</v>
      </c>
      <c r="E9" s="14" t="s">
        <v>61</v>
      </c>
      <c r="F9" s="15">
        <v>1500</v>
      </c>
      <c r="G9" s="15">
        <v>6000</v>
      </c>
      <c r="H9" s="15">
        <v>1081</v>
      </c>
      <c r="I9" s="15"/>
      <c r="J9" s="15">
        <v>400</v>
      </c>
      <c r="K9" s="15">
        <v>1100</v>
      </c>
      <c r="L9" s="15">
        <v>150</v>
      </c>
      <c r="M9" s="16">
        <f t="shared" si="0"/>
        <v>180</v>
      </c>
      <c r="N9" s="16">
        <f t="shared" si="1"/>
        <v>270.25</v>
      </c>
      <c r="O9" s="17">
        <f t="shared" si="2"/>
        <v>199.75</v>
      </c>
      <c r="P9" s="15">
        <v>0</v>
      </c>
      <c r="Q9" s="12" t="str">
        <f t="shared" si="3"/>
        <v>✓ مسموح</v>
      </c>
      <c r="R9" s="16">
        <f t="shared" si="4"/>
        <v>180</v>
      </c>
      <c r="S9" s="16">
        <f t="shared" si="5"/>
        <v>0</v>
      </c>
      <c r="T9" s="16">
        <f t="shared" si="6"/>
        <v>400</v>
      </c>
      <c r="U9" s="17">
        <f t="shared" si="7"/>
        <v>580</v>
      </c>
      <c r="V9" s="17">
        <f t="shared" si="8"/>
        <v>580</v>
      </c>
      <c r="W9" s="18"/>
      <c r="X9" s="18"/>
      <c r="Y9" s="12" t="str">
        <f t="shared" si="9"/>
        <v/>
      </c>
    </row>
    <row r="10" spans="1:25" ht="45.75" customHeight="1" x14ac:dyDescent="0.25">
      <c r="A10" s="12">
        <v>6</v>
      </c>
      <c r="B10" s="13" t="s">
        <v>69</v>
      </c>
      <c r="C10" s="13" t="s">
        <v>70</v>
      </c>
      <c r="D10" s="14" t="b">
        <f>FALSE()</f>
        <v>0</v>
      </c>
      <c r="E10" s="14" t="s">
        <v>65</v>
      </c>
      <c r="F10" s="15">
        <v>0</v>
      </c>
      <c r="G10" s="15"/>
      <c r="H10" s="15"/>
      <c r="I10" s="15"/>
      <c r="J10" s="15">
        <v>0</v>
      </c>
      <c r="K10" s="15">
        <v>0</v>
      </c>
      <c r="L10" s="15">
        <v>0</v>
      </c>
      <c r="M10" s="16">
        <f t="shared" si="0"/>
        <v>0</v>
      </c>
      <c r="N10" s="16">
        <f t="shared" si="1"/>
        <v>0</v>
      </c>
      <c r="O10" s="17">
        <f t="shared" si="2"/>
        <v>0</v>
      </c>
      <c r="P10" s="15">
        <v>0</v>
      </c>
      <c r="Q10" s="12" t="str">
        <f t="shared" si="3"/>
        <v>—</v>
      </c>
      <c r="R10" s="16">
        <f t="shared" si="4"/>
        <v>0</v>
      </c>
      <c r="S10" s="16">
        <f t="shared" si="5"/>
        <v>0</v>
      </c>
      <c r="T10" s="16">
        <f t="shared" si="6"/>
        <v>0</v>
      </c>
      <c r="U10" s="17">
        <f t="shared" si="7"/>
        <v>0</v>
      </c>
      <c r="V10" s="17">
        <f t="shared" si="8"/>
        <v>0</v>
      </c>
      <c r="W10" s="18"/>
      <c r="X10" s="18"/>
      <c r="Y10" s="12" t="str">
        <f t="shared" si="9"/>
        <v/>
      </c>
    </row>
    <row r="11" spans="1:25" ht="45.75" customHeight="1" x14ac:dyDescent="0.25">
      <c r="A11" s="12">
        <v>7</v>
      </c>
      <c r="B11" s="13" t="s">
        <v>71</v>
      </c>
      <c r="C11" s="13" t="s">
        <v>72</v>
      </c>
      <c r="D11" s="14" t="b">
        <f>FALSE()</f>
        <v>0</v>
      </c>
      <c r="E11" s="14" t="s">
        <v>65</v>
      </c>
      <c r="F11" s="15">
        <v>200</v>
      </c>
      <c r="G11" s="15"/>
      <c r="H11" s="15"/>
      <c r="I11" s="15"/>
      <c r="J11" s="15">
        <v>0</v>
      </c>
      <c r="K11" s="15">
        <v>400</v>
      </c>
      <c r="L11" s="15">
        <v>0</v>
      </c>
      <c r="M11" s="16">
        <f t="shared" si="0"/>
        <v>24</v>
      </c>
      <c r="N11" s="16">
        <f t="shared" si="1"/>
        <v>0</v>
      </c>
      <c r="O11" s="17">
        <f t="shared" si="2"/>
        <v>-224</v>
      </c>
      <c r="P11" s="15">
        <v>50</v>
      </c>
      <c r="Q11" s="12" t="str">
        <f t="shared" si="3"/>
        <v>—</v>
      </c>
      <c r="R11" s="16">
        <f t="shared" si="4"/>
        <v>24</v>
      </c>
      <c r="S11" s="16">
        <f t="shared" si="5"/>
        <v>0</v>
      </c>
      <c r="T11" s="16">
        <f t="shared" si="6"/>
        <v>0</v>
      </c>
      <c r="U11" s="17">
        <f t="shared" si="7"/>
        <v>24</v>
      </c>
      <c r="V11" s="17">
        <f t="shared" si="8"/>
        <v>74</v>
      </c>
      <c r="W11" s="18"/>
      <c r="X11" s="18"/>
      <c r="Y11" s="12" t="str">
        <f t="shared" si="9"/>
        <v/>
      </c>
    </row>
    <row r="12" spans="1:25" ht="45.75" customHeight="1" x14ac:dyDescent="0.25">
      <c r="A12" s="12">
        <v>8</v>
      </c>
      <c r="B12" s="13" t="s">
        <v>73</v>
      </c>
      <c r="C12" s="13" t="s">
        <v>74</v>
      </c>
      <c r="D12" s="14" t="b">
        <f>FALSE()</f>
        <v>0</v>
      </c>
      <c r="E12" s="14" t="s">
        <v>65</v>
      </c>
      <c r="F12" s="15">
        <v>12.35</v>
      </c>
      <c r="G12" s="15"/>
      <c r="H12" s="15"/>
      <c r="I12" s="15"/>
      <c r="J12" s="15">
        <v>0</v>
      </c>
      <c r="K12" s="15">
        <v>0</v>
      </c>
      <c r="L12" s="15">
        <v>0</v>
      </c>
      <c r="M12" s="16">
        <f t="shared" si="0"/>
        <v>1.48</v>
      </c>
      <c r="N12" s="16">
        <f t="shared" si="1"/>
        <v>0</v>
      </c>
      <c r="O12" s="17">
        <f t="shared" si="2"/>
        <v>10.87</v>
      </c>
      <c r="P12" s="15">
        <v>0</v>
      </c>
      <c r="Q12" s="12" t="str">
        <f t="shared" si="3"/>
        <v>—</v>
      </c>
      <c r="R12" s="16">
        <f t="shared" si="4"/>
        <v>0</v>
      </c>
      <c r="S12" s="16">
        <f t="shared" si="5"/>
        <v>0</v>
      </c>
      <c r="T12" s="16">
        <f t="shared" si="6"/>
        <v>0</v>
      </c>
      <c r="U12" s="17">
        <f t="shared" si="7"/>
        <v>0</v>
      </c>
      <c r="V12" s="17">
        <f t="shared" si="8"/>
        <v>0</v>
      </c>
      <c r="W12" s="18"/>
      <c r="X12" s="18"/>
      <c r="Y12" s="12" t="str">
        <f t="shared" si="9"/>
        <v/>
      </c>
    </row>
    <row r="13" spans="1:25" ht="45.75" customHeight="1" x14ac:dyDescent="0.25">
      <c r="A13" s="12">
        <v>9</v>
      </c>
      <c r="B13" s="13" t="s">
        <v>73</v>
      </c>
      <c r="C13" s="13" t="s">
        <v>75</v>
      </c>
      <c r="D13" s="14" t="b">
        <f>FALSE()</f>
        <v>0</v>
      </c>
      <c r="E13" s="14" t="s">
        <v>61</v>
      </c>
      <c r="F13" s="15">
        <v>333</v>
      </c>
      <c r="G13" s="15">
        <v>1000</v>
      </c>
      <c r="H13" s="15">
        <v>1081</v>
      </c>
      <c r="I13" s="15"/>
      <c r="J13" s="15">
        <v>0</v>
      </c>
      <c r="K13" s="15">
        <v>0</v>
      </c>
      <c r="L13" s="15">
        <v>0</v>
      </c>
      <c r="M13" s="16">
        <f t="shared" si="0"/>
        <v>39.96</v>
      </c>
      <c r="N13" s="16">
        <f t="shared" si="1"/>
        <v>359.97</v>
      </c>
      <c r="O13" s="17">
        <f t="shared" si="2"/>
        <v>-66.930000000000035</v>
      </c>
      <c r="P13" s="15">
        <v>0</v>
      </c>
      <c r="Q13" s="12" t="str">
        <f t="shared" si="3"/>
        <v>—</v>
      </c>
      <c r="R13" s="16">
        <f t="shared" si="4"/>
        <v>39.96</v>
      </c>
      <c r="S13" s="16">
        <f t="shared" si="5"/>
        <v>0</v>
      </c>
      <c r="T13" s="16">
        <f t="shared" si="6"/>
        <v>0</v>
      </c>
      <c r="U13" s="17">
        <f t="shared" si="7"/>
        <v>39.96</v>
      </c>
      <c r="V13" s="17">
        <f t="shared" si="8"/>
        <v>39.96</v>
      </c>
      <c r="W13" s="18"/>
      <c r="X13" s="18"/>
      <c r="Y13" s="12" t="str">
        <f t="shared" si="9"/>
        <v/>
      </c>
    </row>
    <row r="14" spans="1:25" ht="45.75" customHeight="1" x14ac:dyDescent="0.25">
      <c r="A14" s="12">
        <v>10</v>
      </c>
      <c r="B14" s="13" t="s">
        <v>76</v>
      </c>
      <c r="C14" s="13" t="s">
        <v>77</v>
      </c>
      <c r="D14" s="14" t="b">
        <f>TRUE()</f>
        <v>1</v>
      </c>
      <c r="E14" s="14" t="s">
        <v>65</v>
      </c>
      <c r="F14" s="15">
        <v>100</v>
      </c>
      <c r="G14" s="15"/>
      <c r="H14" s="15"/>
      <c r="I14" s="15"/>
      <c r="J14" s="15">
        <v>200</v>
      </c>
      <c r="K14" s="15">
        <v>300</v>
      </c>
      <c r="L14" s="15">
        <v>0</v>
      </c>
      <c r="M14" s="16">
        <f t="shared" si="0"/>
        <v>0</v>
      </c>
      <c r="N14" s="16">
        <f t="shared" si="1"/>
        <v>0</v>
      </c>
      <c r="O14" s="17">
        <f t="shared" si="2"/>
        <v>0</v>
      </c>
      <c r="P14" s="15">
        <v>0</v>
      </c>
      <c r="Q14" s="12" t="str">
        <f t="shared" si="3"/>
        <v>✓ مسموح</v>
      </c>
      <c r="R14" s="16">
        <f t="shared" si="4"/>
        <v>0</v>
      </c>
      <c r="S14" s="16">
        <f t="shared" si="5"/>
        <v>0</v>
      </c>
      <c r="T14" s="16">
        <f t="shared" si="6"/>
        <v>200</v>
      </c>
      <c r="U14" s="17">
        <f t="shared" si="7"/>
        <v>200</v>
      </c>
      <c r="V14" s="17">
        <f t="shared" si="8"/>
        <v>200</v>
      </c>
      <c r="W14" s="18"/>
      <c r="X14" s="18"/>
      <c r="Y14" s="12" t="str">
        <f t="shared" si="9"/>
        <v/>
      </c>
    </row>
    <row r="15" spans="1:25" ht="45.75" customHeight="1" x14ac:dyDescent="0.25">
      <c r="A15" s="12">
        <v>11</v>
      </c>
      <c r="B15" s="13" t="s">
        <v>78</v>
      </c>
      <c r="C15" s="13" t="s">
        <v>79</v>
      </c>
      <c r="D15" s="14" t="b">
        <f>FALSE()</f>
        <v>0</v>
      </c>
      <c r="E15" s="14" t="s">
        <v>65</v>
      </c>
      <c r="F15" s="15">
        <v>416.67</v>
      </c>
      <c r="G15" s="15"/>
      <c r="H15" s="15"/>
      <c r="I15" s="15"/>
      <c r="J15" s="15">
        <v>0</v>
      </c>
      <c r="K15" s="15">
        <v>0</v>
      </c>
      <c r="L15" s="15">
        <v>80</v>
      </c>
      <c r="M15" s="16">
        <f t="shared" si="0"/>
        <v>50</v>
      </c>
      <c r="N15" s="16">
        <f t="shared" si="1"/>
        <v>0</v>
      </c>
      <c r="O15" s="17">
        <f t="shared" si="2"/>
        <v>286.67</v>
      </c>
      <c r="P15" s="15">
        <v>0</v>
      </c>
      <c r="Q15" s="12" t="str">
        <f t="shared" si="3"/>
        <v>—</v>
      </c>
      <c r="R15" s="16">
        <f t="shared" si="4"/>
        <v>0</v>
      </c>
      <c r="S15" s="16">
        <f t="shared" si="5"/>
        <v>50</v>
      </c>
      <c r="T15" s="16">
        <f t="shared" si="6"/>
        <v>0</v>
      </c>
      <c r="U15" s="17">
        <f t="shared" si="7"/>
        <v>50</v>
      </c>
      <c r="V15" s="17">
        <f t="shared" si="8"/>
        <v>50</v>
      </c>
      <c r="W15" s="18"/>
      <c r="X15" s="18"/>
      <c r="Y15" s="12" t="str">
        <f t="shared" si="9"/>
        <v/>
      </c>
    </row>
    <row r="16" spans="1:25" ht="45.75" customHeight="1" x14ac:dyDescent="0.25">
      <c r="A16" s="12">
        <v>12</v>
      </c>
      <c r="B16" s="13" t="s">
        <v>69</v>
      </c>
      <c r="C16" s="13" t="s">
        <v>80</v>
      </c>
      <c r="D16" s="14" t="b">
        <f>FALSE()</f>
        <v>0</v>
      </c>
      <c r="E16" s="14" t="s">
        <v>61</v>
      </c>
      <c r="F16" s="15">
        <v>1000</v>
      </c>
      <c r="G16" s="15">
        <v>1000</v>
      </c>
      <c r="H16" s="15">
        <v>1081</v>
      </c>
      <c r="I16" s="15"/>
      <c r="J16" s="15">
        <v>0</v>
      </c>
      <c r="K16" s="15">
        <v>0</v>
      </c>
      <c r="L16" s="15">
        <v>0</v>
      </c>
      <c r="M16" s="16">
        <f t="shared" si="0"/>
        <v>120</v>
      </c>
      <c r="N16" s="16">
        <f t="shared" si="1"/>
        <v>1081</v>
      </c>
      <c r="O16" s="17">
        <f t="shared" si="2"/>
        <v>-201</v>
      </c>
      <c r="P16" s="15">
        <v>0</v>
      </c>
      <c r="Q16" s="12" t="str">
        <f t="shared" si="3"/>
        <v>—</v>
      </c>
      <c r="R16" s="16">
        <f t="shared" si="4"/>
        <v>120</v>
      </c>
      <c r="S16" s="16">
        <f t="shared" si="5"/>
        <v>0</v>
      </c>
      <c r="T16" s="16">
        <f t="shared" si="6"/>
        <v>0</v>
      </c>
      <c r="U16" s="17">
        <f t="shared" si="7"/>
        <v>120</v>
      </c>
      <c r="V16" s="17">
        <f t="shared" si="8"/>
        <v>120</v>
      </c>
      <c r="W16" s="18"/>
      <c r="X16" s="18"/>
      <c r="Y16" s="12" t="str">
        <f t="shared" si="9"/>
        <v/>
      </c>
    </row>
    <row r="17" spans="1:25" ht="45.75" customHeight="1" x14ac:dyDescent="0.25">
      <c r="A17" s="12">
        <v>13</v>
      </c>
      <c r="B17" s="13" t="s">
        <v>59</v>
      </c>
      <c r="C17" s="13" t="s">
        <v>81</v>
      </c>
      <c r="D17" s="14" t="b">
        <f>FALSE()</f>
        <v>0</v>
      </c>
      <c r="E17" s="14" t="s">
        <v>61</v>
      </c>
      <c r="F17" s="15">
        <v>5000</v>
      </c>
      <c r="G17" s="15">
        <v>5000</v>
      </c>
      <c r="H17" s="15">
        <v>200</v>
      </c>
      <c r="I17" s="15"/>
      <c r="J17" s="15">
        <v>0</v>
      </c>
      <c r="K17" s="15">
        <v>1000</v>
      </c>
      <c r="L17" s="15">
        <v>0</v>
      </c>
      <c r="M17" s="16">
        <f t="shared" si="0"/>
        <v>600</v>
      </c>
      <c r="N17" s="16">
        <f t="shared" si="1"/>
        <v>200</v>
      </c>
      <c r="O17" s="17">
        <f t="shared" si="2"/>
        <v>3200</v>
      </c>
      <c r="P17" s="15">
        <v>0</v>
      </c>
      <c r="Q17" s="12" t="str">
        <f t="shared" si="3"/>
        <v>—</v>
      </c>
      <c r="R17" s="16">
        <f t="shared" si="4"/>
        <v>0</v>
      </c>
      <c r="S17" s="16">
        <f t="shared" si="5"/>
        <v>0</v>
      </c>
      <c r="T17" s="16">
        <f t="shared" si="6"/>
        <v>0</v>
      </c>
      <c r="U17" s="17">
        <f t="shared" si="7"/>
        <v>0</v>
      </c>
      <c r="V17" s="17">
        <f t="shared" si="8"/>
        <v>0</v>
      </c>
      <c r="W17" s="18"/>
      <c r="X17" s="18"/>
      <c r="Y17" s="12" t="str">
        <f t="shared" si="9"/>
        <v/>
      </c>
    </row>
    <row r="18" spans="1:25" ht="45.75" customHeight="1" x14ac:dyDescent="0.25">
      <c r="A18" s="12">
        <v>14</v>
      </c>
      <c r="B18" s="13" t="s">
        <v>82</v>
      </c>
      <c r="C18" s="13" t="s">
        <v>83</v>
      </c>
      <c r="D18" s="14" t="b">
        <f>FALSE()</f>
        <v>0</v>
      </c>
      <c r="E18" s="14" t="s">
        <v>65</v>
      </c>
      <c r="F18" s="15">
        <v>-100</v>
      </c>
      <c r="G18" s="15"/>
      <c r="H18" s="15"/>
      <c r="I18" s="15"/>
      <c r="J18" s="15">
        <v>0</v>
      </c>
      <c r="K18" s="15">
        <v>0</v>
      </c>
      <c r="L18" s="15">
        <v>0</v>
      </c>
      <c r="M18" s="16" t="str">
        <f t="shared" si="0"/>
        <v>غير صالح</v>
      </c>
      <c r="N18" s="16" t="str">
        <f t="shared" si="1"/>
        <v>غير صالح</v>
      </c>
      <c r="O18" s="17" t="str">
        <f t="shared" si="2"/>
        <v>—</v>
      </c>
      <c r="P18" s="15">
        <v>0</v>
      </c>
      <c r="Q18" s="12" t="str">
        <f t="shared" si="3"/>
        <v>—</v>
      </c>
      <c r="R18" s="16" t="str">
        <f t="shared" si="4"/>
        <v>—</v>
      </c>
      <c r="S18" s="16" t="str">
        <f t="shared" si="5"/>
        <v>—</v>
      </c>
      <c r="T18" s="16">
        <f t="shared" si="6"/>
        <v>0</v>
      </c>
      <c r="U18" s="17" t="str">
        <f t="shared" si="7"/>
        <v>—</v>
      </c>
      <c r="V18" s="17">
        <f t="shared" si="8"/>
        <v>0</v>
      </c>
      <c r="W18" s="18"/>
      <c r="X18" s="18"/>
      <c r="Y18" s="12" t="str">
        <f t="shared" si="9"/>
        <v/>
      </c>
    </row>
    <row r="19" spans="1:25" ht="45.75" customHeight="1" x14ac:dyDescent="0.25">
      <c r="A19" s="12">
        <v>15</v>
      </c>
      <c r="B19" s="13" t="s">
        <v>84</v>
      </c>
      <c r="C19" s="13" t="s">
        <v>85</v>
      </c>
      <c r="D19" s="14" t="b">
        <f>FALSE()</f>
        <v>0</v>
      </c>
      <c r="E19" s="14" t="s">
        <v>65</v>
      </c>
      <c r="F19" s="15">
        <v>1000</v>
      </c>
      <c r="G19" s="15"/>
      <c r="H19" s="15"/>
      <c r="I19" s="15"/>
      <c r="J19" s="15">
        <v>100</v>
      </c>
      <c r="K19" s="15">
        <v>200</v>
      </c>
      <c r="L19" s="15">
        <v>0</v>
      </c>
      <c r="M19" s="16">
        <f t="shared" si="0"/>
        <v>120</v>
      </c>
      <c r="N19" s="16">
        <f t="shared" si="1"/>
        <v>0</v>
      </c>
      <c r="O19" s="17">
        <f t="shared" si="2"/>
        <v>780</v>
      </c>
      <c r="P19" s="15">
        <v>0</v>
      </c>
      <c r="Q19" s="12" t="str">
        <f t="shared" si="3"/>
        <v>❌ غير مسموح - لا عجز فعلي</v>
      </c>
      <c r="R19" s="16">
        <f t="shared" si="4"/>
        <v>0</v>
      </c>
      <c r="S19" s="16">
        <f t="shared" si="5"/>
        <v>0</v>
      </c>
      <c r="T19" s="16">
        <f t="shared" si="6"/>
        <v>0</v>
      </c>
      <c r="U19" s="17">
        <f t="shared" si="7"/>
        <v>0</v>
      </c>
      <c r="V19" s="17">
        <f t="shared" si="8"/>
        <v>0</v>
      </c>
      <c r="W19" s="18"/>
      <c r="X19" s="18"/>
      <c r="Y19" s="12" t="str">
        <f t="shared" si="9"/>
        <v/>
      </c>
    </row>
    <row r="21" spans="1:25" ht="55.5" customHeight="1" x14ac:dyDescent="0.25">
      <c r="A21" s="1" t="s">
        <v>239</v>
      </c>
      <c r="B21" s="1"/>
      <c r="C21" s="1"/>
      <c r="D21" s="1"/>
      <c r="E21" s="1"/>
      <c r="F21" s="1"/>
      <c r="G21" s="1"/>
      <c r="H21" s="1"/>
      <c r="I21" s="1"/>
      <c r="J21" s="1"/>
      <c r="K21" s="1"/>
      <c r="L21" s="1"/>
      <c r="M21" s="1"/>
      <c r="N21" s="1"/>
      <c r="O21" s="1"/>
      <c r="P21" s="1"/>
      <c r="Q21" s="1"/>
      <c r="R21" s="1"/>
      <c r="S21" s="1"/>
      <c r="T21" s="1"/>
      <c r="U21" s="1"/>
      <c r="V21" s="1"/>
      <c r="W21" s="1"/>
      <c r="X21" s="1"/>
      <c r="Y21" s="1"/>
    </row>
  </sheetData>
  <mergeCells count="3">
    <mergeCell ref="A1:Y1"/>
    <mergeCell ref="A2:Y2"/>
    <mergeCell ref="A21:Y21"/>
  </mergeCells>
  <conditionalFormatting sqref="Y5:Y19">
    <cfRule type="cellIs" dxfId="9" priority="2" operator="equal">
      <formula>"✓"</formula>
    </cfRule>
    <cfRule type="cellIs" dxfId="8" priority="3" operator="equal">
      <formula>"✗ تحقق"</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rightToLeft="1" topLeftCell="A7" zoomScaleNormal="100" workbookViewId="0">
      <selection sqref="A1:G1"/>
    </sheetView>
  </sheetViews>
  <sheetFormatPr defaultColWidth="8.7109375" defaultRowHeight="15" x14ac:dyDescent="0.25"/>
  <cols>
    <col min="1" max="1" width="6" customWidth="1"/>
    <col min="2" max="2" width="34" customWidth="1"/>
    <col min="3" max="4" width="46" customWidth="1"/>
    <col min="5" max="6" width="16" customWidth="1"/>
    <col min="7" max="7" width="14" customWidth="1"/>
  </cols>
  <sheetData>
    <row r="1" spans="1:7" ht="25.5" customHeight="1" x14ac:dyDescent="0.25">
      <c r="A1" s="6" t="s">
        <v>86</v>
      </c>
      <c r="B1" s="6"/>
      <c r="C1" s="6"/>
      <c r="D1" s="6"/>
      <c r="E1" s="6"/>
      <c r="F1" s="6"/>
      <c r="G1" s="6"/>
    </row>
    <row r="2" spans="1:7" ht="18" customHeight="1" x14ac:dyDescent="0.25">
      <c r="A2" s="5" t="s">
        <v>87</v>
      </c>
      <c r="B2" s="5"/>
      <c r="C2" s="5"/>
      <c r="D2" s="5"/>
      <c r="E2" s="5"/>
      <c r="F2" s="5"/>
      <c r="G2" s="5"/>
    </row>
    <row r="4" spans="1:7" ht="42" customHeight="1" x14ac:dyDescent="0.25">
      <c r="A4" s="11" t="s">
        <v>34</v>
      </c>
      <c r="B4" s="11" t="s">
        <v>88</v>
      </c>
      <c r="C4" s="11" t="s">
        <v>89</v>
      </c>
      <c r="D4" s="11" t="s">
        <v>90</v>
      </c>
      <c r="E4" s="11" t="s">
        <v>91</v>
      </c>
      <c r="F4" s="11" t="s">
        <v>92</v>
      </c>
      <c r="G4" s="11" t="s">
        <v>58</v>
      </c>
    </row>
    <row r="5" spans="1:7" ht="78" customHeight="1" x14ac:dyDescent="0.25">
      <c r="A5" s="12">
        <v>1</v>
      </c>
      <c r="B5" s="13" t="s">
        <v>93</v>
      </c>
      <c r="C5" s="13" t="s">
        <v>94</v>
      </c>
      <c r="D5" s="13" t="s">
        <v>95</v>
      </c>
      <c r="E5" s="19"/>
      <c r="F5" s="19"/>
      <c r="G5" s="12"/>
    </row>
    <row r="6" spans="1:7" ht="78" customHeight="1" x14ac:dyDescent="0.25">
      <c r="A6" s="12">
        <v>2</v>
      </c>
      <c r="B6" s="13" t="s">
        <v>96</v>
      </c>
      <c r="C6" s="13" t="s">
        <v>97</v>
      </c>
      <c r="D6" s="13" t="s">
        <v>98</v>
      </c>
      <c r="E6" s="19"/>
      <c r="F6" s="19"/>
      <c r="G6" s="12"/>
    </row>
    <row r="7" spans="1:7" ht="78" customHeight="1" x14ac:dyDescent="0.25">
      <c r="A7" s="12">
        <v>3</v>
      </c>
      <c r="B7" s="13" t="s">
        <v>99</v>
      </c>
      <c r="C7" s="13" t="s">
        <v>100</v>
      </c>
      <c r="D7" s="13" t="s">
        <v>101</v>
      </c>
      <c r="E7" s="19"/>
      <c r="F7" s="19"/>
      <c r="G7" s="12"/>
    </row>
    <row r="8" spans="1:7" ht="78" customHeight="1" x14ac:dyDescent="0.25">
      <c r="A8" s="12">
        <v>4</v>
      </c>
      <c r="B8" s="13" t="s">
        <v>102</v>
      </c>
      <c r="C8" s="13" t="s">
        <v>103</v>
      </c>
      <c r="D8" s="13" t="s">
        <v>104</v>
      </c>
      <c r="E8" s="19"/>
      <c r="F8" s="19"/>
      <c r="G8" s="12"/>
    </row>
    <row r="9" spans="1:7" ht="78" customHeight="1" x14ac:dyDescent="0.25">
      <c r="A9" s="12">
        <v>5</v>
      </c>
      <c r="B9" s="13" t="s">
        <v>105</v>
      </c>
      <c r="C9" s="13" t="s">
        <v>106</v>
      </c>
      <c r="D9" s="13" t="s">
        <v>107</v>
      </c>
      <c r="E9" s="19"/>
      <c r="F9" s="19"/>
      <c r="G9" s="12"/>
    </row>
    <row r="10" spans="1:7" ht="78" customHeight="1" x14ac:dyDescent="0.25">
      <c r="A10" s="12">
        <v>6</v>
      </c>
      <c r="B10" s="13" t="s">
        <v>108</v>
      </c>
      <c r="C10" s="13" t="s">
        <v>109</v>
      </c>
      <c r="D10" s="13" t="s">
        <v>110</v>
      </c>
      <c r="E10" s="19"/>
      <c r="F10" s="19"/>
      <c r="G10" s="12"/>
    </row>
  </sheetData>
  <mergeCells count="2">
    <mergeCell ref="A1:G1"/>
    <mergeCell ref="A2:G2"/>
  </mergeCells>
  <dataValidations count="1">
    <dataValidation type="list" allowBlank="1" sqref="G5:G10" xr:uid="{00000000-0002-0000-0200-000000000000}">
      <formula1>"✓,✗,جزئي"</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
  <sheetViews>
    <sheetView rightToLeft="1" zoomScaleNormal="100" workbookViewId="0">
      <selection sqref="A1:H1"/>
    </sheetView>
  </sheetViews>
  <sheetFormatPr defaultColWidth="8.7109375" defaultRowHeight="15" x14ac:dyDescent="0.25"/>
  <cols>
    <col min="1" max="1" width="6" customWidth="1"/>
    <col min="2" max="2" width="30" customWidth="1"/>
    <col min="3" max="7" width="14" customWidth="1"/>
    <col min="8" max="8" width="10" customWidth="1"/>
    <col min="9" max="11" width="14" customWidth="1"/>
  </cols>
  <sheetData>
    <row r="1" spans="1:10" ht="25.5" customHeight="1" x14ac:dyDescent="0.25">
      <c r="A1" s="6" t="s">
        <v>111</v>
      </c>
      <c r="B1" s="6"/>
      <c r="C1" s="6"/>
      <c r="D1" s="6"/>
      <c r="E1" s="6"/>
      <c r="F1" s="6"/>
      <c r="G1" s="6"/>
      <c r="H1" s="6"/>
    </row>
    <row r="2" spans="1:10" ht="18" customHeight="1" x14ac:dyDescent="0.25">
      <c r="A2" s="5" t="s">
        <v>112</v>
      </c>
      <c r="B2" s="5"/>
      <c r="C2" s="5"/>
      <c r="D2" s="5"/>
      <c r="E2" s="5"/>
      <c r="F2" s="5"/>
      <c r="G2" s="5"/>
      <c r="H2" s="5"/>
    </row>
    <row r="4" spans="1:10" ht="42" customHeight="1" x14ac:dyDescent="0.25">
      <c r="A4" s="11" t="s">
        <v>34</v>
      </c>
      <c r="B4" s="11" t="s">
        <v>36</v>
      </c>
      <c r="C4" s="11" t="s">
        <v>113</v>
      </c>
      <c r="D4" s="11" t="s">
        <v>46</v>
      </c>
      <c r="E4" s="11" t="s">
        <v>91</v>
      </c>
      <c r="F4" s="11" t="s">
        <v>92</v>
      </c>
      <c r="G4" s="11" t="s">
        <v>58</v>
      </c>
    </row>
    <row r="5" spans="1:10" ht="36" customHeight="1" x14ac:dyDescent="0.25">
      <c r="A5" s="12">
        <v>1</v>
      </c>
      <c r="B5" s="13" t="s">
        <v>114</v>
      </c>
      <c r="C5" s="15">
        <v>10000</v>
      </c>
      <c r="D5" s="17">
        <f>ROUND(C5*0.12,2)</f>
        <v>1200</v>
      </c>
      <c r="E5" s="18"/>
      <c r="F5" s="18"/>
      <c r="G5" s="12" t="str">
        <f>IF(E5="","",IF(ROUND(D5,2)=ROUND(E5,2),"✓","✗ تحقق"))</f>
        <v/>
      </c>
    </row>
    <row r="6" spans="1:10" ht="36" customHeight="1" x14ac:dyDescent="0.25">
      <c r="A6" s="12">
        <v>2</v>
      </c>
      <c r="B6" s="13" t="s">
        <v>115</v>
      </c>
      <c r="C6" s="15">
        <v>6944.42</v>
      </c>
      <c r="D6" s="17">
        <f>ROUND(C6*0.12,2)</f>
        <v>833.33</v>
      </c>
      <c r="E6" s="18"/>
      <c r="F6" s="18"/>
      <c r="G6" s="12" t="str">
        <f>IF(E6="","",IF(ROUND(D6,2)=ROUND(E6,2),"✓","✗ تحقق"))</f>
        <v/>
      </c>
    </row>
    <row r="7" spans="1:10" ht="36" customHeight="1" x14ac:dyDescent="0.25">
      <c r="A7" s="12">
        <v>3</v>
      </c>
      <c r="B7" s="13" t="s">
        <v>116</v>
      </c>
      <c r="C7" s="15">
        <v>0</v>
      </c>
      <c r="D7" s="17">
        <f>ROUND(C7*0.12,2)</f>
        <v>0</v>
      </c>
      <c r="E7" s="18"/>
      <c r="F7" s="18"/>
      <c r="G7" s="12" t="str">
        <f>IF(E7="","",IF(ROUND(D7,2)=ROUND(E7,2),"✓","✗ تحقق"))</f>
        <v/>
      </c>
    </row>
    <row r="8" spans="1:10" ht="25.5" customHeight="1" x14ac:dyDescent="0.25">
      <c r="A8" s="6" t="s">
        <v>117</v>
      </c>
      <c r="B8" s="6"/>
      <c r="C8" s="6"/>
      <c r="D8" s="6"/>
      <c r="E8" s="6"/>
      <c r="F8" s="6"/>
      <c r="G8" s="6"/>
      <c r="H8" s="6"/>
    </row>
    <row r="9" spans="1:10" ht="18" customHeight="1" x14ac:dyDescent="0.25">
      <c r="A9" s="5" t="s">
        <v>118</v>
      </c>
      <c r="B9" s="5"/>
      <c r="C9" s="5"/>
      <c r="D9" s="5"/>
      <c r="E9" s="5"/>
      <c r="F9" s="5"/>
      <c r="G9" s="5"/>
      <c r="H9" s="5"/>
    </row>
    <row r="11" spans="1:10" ht="42" customHeight="1" x14ac:dyDescent="0.25">
      <c r="A11" s="11" t="s">
        <v>34</v>
      </c>
      <c r="B11" s="11" t="s">
        <v>119</v>
      </c>
      <c r="C11" s="11" t="s">
        <v>120</v>
      </c>
      <c r="D11" s="11" t="s">
        <v>121</v>
      </c>
      <c r="E11" s="11" t="s">
        <v>122</v>
      </c>
      <c r="F11" s="11" t="s">
        <v>123</v>
      </c>
      <c r="G11" s="11" t="s">
        <v>124</v>
      </c>
      <c r="H11" s="11" t="s">
        <v>125</v>
      </c>
      <c r="I11" s="11" t="s">
        <v>126</v>
      </c>
      <c r="J11" s="11" t="s">
        <v>127</v>
      </c>
    </row>
    <row r="12" spans="1:10" ht="21.75" customHeight="1" x14ac:dyDescent="0.25">
      <c r="A12" s="12">
        <v>1</v>
      </c>
      <c r="B12" s="15">
        <v>1882</v>
      </c>
      <c r="C12" s="15">
        <v>0</v>
      </c>
      <c r="D12" s="15">
        <v>0</v>
      </c>
      <c r="E12" s="15">
        <v>0</v>
      </c>
      <c r="F12" s="15">
        <v>0</v>
      </c>
      <c r="G12" s="15">
        <v>0</v>
      </c>
      <c r="H12" s="17">
        <f>SUM(B12:E12)</f>
        <v>1882</v>
      </c>
      <c r="I12" s="17">
        <f>SUM(F12:G12)</f>
        <v>0</v>
      </c>
      <c r="J12" s="17">
        <f>H12-I12</f>
        <v>1882</v>
      </c>
    </row>
    <row r="13" spans="1:10" ht="21.75" customHeight="1" x14ac:dyDescent="0.25">
      <c r="A13" s="12">
        <v>2</v>
      </c>
      <c r="B13" s="15">
        <v>1599</v>
      </c>
      <c r="C13" s="15">
        <v>0</v>
      </c>
      <c r="D13" s="15">
        <v>100</v>
      </c>
      <c r="E13" s="15">
        <v>0</v>
      </c>
      <c r="F13" s="15">
        <v>6615</v>
      </c>
      <c r="G13" s="15">
        <v>0</v>
      </c>
      <c r="H13" s="17">
        <f>SUM(B13:E13)</f>
        <v>1699</v>
      </c>
      <c r="I13" s="17">
        <f>SUM(F13:G13)</f>
        <v>6615</v>
      </c>
      <c r="J13" s="17">
        <f>H13-I13</f>
        <v>-4916</v>
      </c>
    </row>
    <row r="14" spans="1:10" ht="21.75" customHeight="1" x14ac:dyDescent="0.25">
      <c r="A14" s="12">
        <v>3</v>
      </c>
      <c r="B14" s="15">
        <v>1075</v>
      </c>
      <c r="C14" s="15">
        <v>0</v>
      </c>
      <c r="D14" s="15">
        <v>400</v>
      </c>
      <c r="E14" s="15">
        <v>0</v>
      </c>
      <c r="F14" s="15">
        <v>7750</v>
      </c>
      <c r="G14" s="15">
        <v>0</v>
      </c>
      <c r="H14" s="17">
        <f>SUM(B14:E14)</f>
        <v>1475</v>
      </c>
      <c r="I14" s="17">
        <f>SUM(F14:G14)</f>
        <v>7750</v>
      </c>
      <c r="J14" s="17">
        <f>H14-I14</f>
        <v>-6275</v>
      </c>
    </row>
    <row r="16" spans="1:10" ht="15" customHeight="1" x14ac:dyDescent="0.25">
      <c r="A16" s="1" t="s">
        <v>128</v>
      </c>
      <c r="B16" s="1"/>
      <c r="C16" s="1"/>
      <c r="D16" s="1"/>
      <c r="E16" s="1"/>
      <c r="F16" s="1"/>
      <c r="G16" s="1"/>
      <c r="H16" s="1"/>
      <c r="I16" s="1"/>
      <c r="J16" s="1"/>
    </row>
  </sheetData>
  <mergeCells count="5">
    <mergeCell ref="A1:H1"/>
    <mergeCell ref="A2:H2"/>
    <mergeCell ref="A8:H8"/>
    <mergeCell ref="A9:H9"/>
    <mergeCell ref="A16:J16"/>
  </mergeCells>
  <conditionalFormatting sqref="G5:G7">
    <cfRule type="cellIs" dxfId="7" priority="2" operator="equal">
      <formula>"✓"</formula>
    </cfRule>
    <cfRule type="cellIs" dxfId="6" priority="3" operator="equal">
      <formula>"✗ تحقق"</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rightToLeft="1" zoomScaleNormal="100" workbookViewId="0">
      <selection sqref="A1:I1"/>
    </sheetView>
  </sheetViews>
  <sheetFormatPr defaultColWidth="8.7109375" defaultRowHeight="15" x14ac:dyDescent="0.25"/>
  <cols>
    <col min="1" max="1" width="6" customWidth="1"/>
    <col min="2" max="2" width="32" customWidth="1"/>
    <col min="3" max="5" width="16" customWidth="1"/>
    <col min="6" max="7" width="14" customWidth="1"/>
    <col min="8" max="8" width="10" customWidth="1"/>
  </cols>
  <sheetData>
    <row r="1" spans="1:9" ht="25.5" customHeight="1" x14ac:dyDescent="0.25">
      <c r="A1" s="6" t="s">
        <v>129</v>
      </c>
      <c r="B1" s="6"/>
      <c r="C1" s="6"/>
      <c r="D1" s="6"/>
      <c r="E1" s="6"/>
      <c r="F1" s="6"/>
      <c r="G1" s="6"/>
      <c r="H1" s="6"/>
      <c r="I1" s="6"/>
    </row>
    <row r="2" spans="1:9" ht="18" customHeight="1" x14ac:dyDescent="0.25">
      <c r="A2" s="5" t="s">
        <v>130</v>
      </c>
      <c r="B2" s="5"/>
      <c r="C2" s="5"/>
      <c r="D2" s="5"/>
      <c r="E2" s="5"/>
      <c r="F2" s="5"/>
      <c r="G2" s="5"/>
      <c r="H2" s="5"/>
      <c r="I2" s="5"/>
    </row>
    <row r="4" spans="1:9" ht="42" customHeight="1" x14ac:dyDescent="0.25">
      <c r="A4" s="11" t="s">
        <v>34</v>
      </c>
      <c r="B4" s="11" t="s">
        <v>36</v>
      </c>
      <c r="C4" s="11" t="s">
        <v>131</v>
      </c>
      <c r="D4" s="11" t="s">
        <v>132</v>
      </c>
      <c r="E4" s="11" t="s">
        <v>133</v>
      </c>
      <c r="F4" s="11" t="s">
        <v>134</v>
      </c>
      <c r="G4" s="11" t="s">
        <v>135</v>
      </c>
      <c r="H4" s="11" t="s">
        <v>136</v>
      </c>
      <c r="I4" s="11" t="s">
        <v>137</v>
      </c>
    </row>
    <row r="5" spans="1:9" ht="33.75" customHeight="1" x14ac:dyDescent="0.25">
      <c r="A5" s="12">
        <v>1</v>
      </c>
      <c r="B5" s="13" t="s">
        <v>138</v>
      </c>
      <c r="C5" s="15">
        <v>1081</v>
      </c>
      <c r="D5" s="15">
        <v>0</v>
      </c>
      <c r="E5" s="15">
        <v>0</v>
      </c>
      <c r="F5" s="15">
        <v>0</v>
      </c>
      <c r="G5" s="17">
        <f t="shared" ref="G5:G11" si="0">C5+D5</f>
        <v>1081</v>
      </c>
      <c r="H5" s="17">
        <f t="shared" ref="H5:H11" si="1">F5+G5-E5</f>
        <v>1081</v>
      </c>
      <c r="I5" s="12" t="str">
        <f t="shared" ref="I5:I11" si="2">IF(H5&gt;0,"فائض",IF(H5&lt;0,"عجز","متوازن"))</f>
        <v>فائض</v>
      </c>
    </row>
    <row r="6" spans="1:9" ht="33.75" customHeight="1" x14ac:dyDescent="0.25">
      <c r="A6" s="12">
        <v>2</v>
      </c>
      <c r="B6" s="13" t="s">
        <v>139</v>
      </c>
      <c r="C6" s="15">
        <v>1081</v>
      </c>
      <c r="D6" s="15">
        <v>154</v>
      </c>
      <c r="E6" s="15">
        <v>900</v>
      </c>
      <c r="F6" s="15">
        <v>0</v>
      </c>
      <c r="G6" s="17">
        <f t="shared" si="0"/>
        <v>1235</v>
      </c>
      <c r="H6" s="17">
        <f t="shared" si="1"/>
        <v>335</v>
      </c>
      <c r="I6" s="12" t="str">
        <f t="shared" si="2"/>
        <v>فائض</v>
      </c>
    </row>
    <row r="7" spans="1:9" ht="33.75" customHeight="1" x14ac:dyDescent="0.25">
      <c r="A7" s="12">
        <v>3</v>
      </c>
      <c r="B7" s="13" t="s">
        <v>140</v>
      </c>
      <c r="C7" s="15">
        <v>1081</v>
      </c>
      <c r="D7" s="15">
        <v>454</v>
      </c>
      <c r="E7" s="15">
        <v>1000</v>
      </c>
      <c r="F7" s="15">
        <v>0</v>
      </c>
      <c r="G7" s="17">
        <f t="shared" si="0"/>
        <v>1535</v>
      </c>
      <c r="H7" s="17">
        <f t="shared" si="1"/>
        <v>535</v>
      </c>
      <c r="I7" s="12" t="str">
        <f t="shared" si="2"/>
        <v>فائض</v>
      </c>
    </row>
    <row r="8" spans="1:9" ht="33.75" customHeight="1" x14ac:dyDescent="0.25">
      <c r="A8" s="12">
        <v>4</v>
      </c>
      <c r="B8" s="13" t="s">
        <v>141</v>
      </c>
      <c r="C8" s="15">
        <v>1081</v>
      </c>
      <c r="D8" s="15">
        <v>0</v>
      </c>
      <c r="E8" s="15">
        <v>1500</v>
      </c>
      <c r="F8" s="15">
        <v>0</v>
      </c>
      <c r="G8" s="17">
        <f t="shared" si="0"/>
        <v>1081</v>
      </c>
      <c r="H8" s="17">
        <f t="shared" si="1"/>
        <v>-419</v>
      </c>
      <c r="I8" s="12" t="str">
        <f t="shared" si="2"/>
        <v>عجز</v>
      </c>
    </row>
    <row r="9" spans="1:9" ht="33.75" customHeight="1" x14ac:dyDescent="0.25">
      <c r="A9" s="12">
        <v>5</v>
      </c>
      <c r="B9" s="13" t="s">
        <v>142</v>
      </c>
      <c r="C9" s="15">
        <v>1081</v>
      </c>
      <c r="D9" s="15">
        <v>0</v>
      </c>
      <c r="E9" s="15">
        <v>1081</v>
      </c>
      <c r="F9" s="15">
        <v>0</v>
      </c>
      <c r="G9" s="17">
        <f t="shared" si="0"/>
        <v>1081</v>
      </c>
      <c r="H9" s="17">
        <f t="shared" si="1"/>
        <v>0</v>
      </c>
      <c r="I9" s="12" t="str">
        <f t="shared" si="2"/>
        <v>متوازن</v>
      </c>
    </row>
    <row r="10" spans="1:9" ht="33.75" customHeight="1" x14ac:dyDescent="0.25">
      <c r="A10" s="12">
        <v>6</v>
      </c>
      <c r="B10" s="13" t="s">
        <v>143</v>
      </c>
      <c r="C10" s="15">
        <v>1081</v>
      </c>
      <c r="D10" s="15">
        <v>0</v>
      </c>
      <c r="E10" s="15">
        <v>1500</v>
      </c>
      <c r="F10" s="15">
        <v>-419</v>
      </c>
      <c r="G10" s="17">
        <f t="shared" si="0"/>
        <v>1081</v>
      </c>
      <c r="H10" s="17">
        <f t="shared" si="1"/>
        <v>-838</v>
      </c>
      <c r="I10" s="12" t="str">
        <f t="shared" si="2"/>
        <v>عجز</v>
      </c>
    </row>
    <row r="11" spans="1:9" ht="33.75" customHeight="1" x14ac:dyDescent="0.25">
      <c r="A11" s="12">
        <v>7</v>
      </c>
      <c r="B11" s="13" t="s">
        <v>144</v>
      </c>
      <c r="C11" s="15">
        <v>1081</v>
      </c>
      <c r="D11" s="15">
        <v>0</v>
      </c>
      <c r="E11" s="15">
        <v>600</v>
      </c>
      <c r="F11" s="15">
        <v>-838</v>
      </c>
      <c r="G11" s="17">
        <f t="shared" si="0"/>
        <v>1081</v>
      </c>
      <c r="H11" s="17">
        <f t="shared" si="1"/>
        <v>-357</v>
      </c>
      <c r="I11" s="12" t="str">
        <f t="shared" si="2"/>
        <v>عجز</v>
      </c>
    </row>
    <row r="13" spans="1:9" ht="42" customHeight="1" x14ac:dyDescent="0.25">
      <c r="A13" s="1" t="s">
        <v>145</v>
      </c>
      <c r="B13" s="1"/>
      <c r="C13" s="1"/>
      <c r="D13" s="1"/>
      <c r="E13" s="1"/>
      <c r="F13" s="1"/>
      <c r="G13" s="1"/>
      <c r="H13" s="1"/>
      <c r="I13" s="1"/>
    </row>
  </sheetData>
  <mergeCells count="3">
    <mergeCell ref="A1:I1"/>
    <mergeCell ref="A2:I2"/>
    <mergeCell ref="A13:I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rightToLeft="1" zoomScaleNormal="100" workbookViewId="0">
      <selection sqref="A1:F1"/>
    </sheetView>
  </sheetViews>
  <sheetFormatPr defaultColWidth="8.7109375" defaultRowHeight="15" x14ac:dyDescent="0.25"/>
  <cols>
    <col min="1" max="1" width="6" customWidth="1"/>
    <col min="2" max="2" width="34" customWidth="1"/>
    <col min="3" max="3" width="42" customWidth="1"/>
    <col min="4" max="5" width="16" customWidth="1"/>
    <col min="6" max="6" width="14" customWidth="1"/>
  </cols>
  <sheetData>
    <row r="1" spans="1:6" ht="25.5" customHeight="1" x14ac:dyDescent="0.25">
      <c r="A1" s="6" t="s">
        <v>146</v>
      </c>
      <c r="B1" s="6"/>
      <c r="C1" s="6"/>
      <c r="D1" s="6"/>
      <c r="E1" s="6"/>
      <c r="F1" s="6"/>
    </row>
    <row r="2" spans="1:6" ht="18" customHeight="1" x14ac:dyDescent="0.25">
      <c r="A2" s="5" t="s">
        <v>147</v>
      </c>
      <c r="B2" s="5"/>
      <c r="C2" s="5"/>
      <c r="D2" s="5"/>
      <c r="E2" s="5"/>
      <c r="F2" s="5"/>
    </row>
    <row r="4" spans="1:6" ht="42" customHeight="1" x14ac:dyDescent="0.25">
      <c r="A4" s="11" t="s">
        <v>34</v>
      </c>
      <c r="B4" s="11" t="s">
        <v>88</v>
      </c>
      <c r="C4" s="11" t="s">
        <v>148</v>
      </c>
      <c r="D4" s="11" t="s">
        <v>90</v>
      </c>
      <c r="E4" s="11" t="s">
        <v>149</v>
      </c>
      <c r="F4" s="11" t="s">
        <v>58</v>
      </c>
    </row>
    <row r="5" spans="1:6" ht="63.75" customHeight="1" x14ac:dyDescent="0.25">
      <c r="A5" s="12">
        <v>1</v>
      </c>
      <c r="B5" s="13" t="s">
        <v>150</v>
      </c>
      <c r="C5" s="13" t="s">
        <v>151</v>
      </c>
      <c r="D5" s="13" t="s">
        <v>152</v>
      </c>
      <c r="E5" s="19"/>
      <c r="F5" s="12"/>
    </row>
    <row r="6" spans="1:6" ht="63.75" customHeight="1" x14ac:dyDescent="0.25">
      <c r="A6" s="12">
        <v>2</v>
      </c>
      <c r="B6" s="13" t="s">
        <v>153</v>
      </c>
      <c r="C6" s="13" t="s">
        <v>154</v>
      </c>
      <c r="D6" s="13" t="s">
        <v>155</v>
      </c>
      <c r="E6" s="19"/>
      <c r="F6" s="12"/>
    </row>
    <row r="7" spans="1:6" ht="63.75" customHeight="1" x14ac:dyDescent="0.25">
      <c r="A7" s="12">
        <v>3</v>
      </c>
      <c r="B7" s="13" t="s">
        <v>156</v>
      </c>
      <c r="C7" s="13" t="s">
        <v>157</v>
      </c>
      <c r="D7" s="13" t="s">
        <v>158</v>
      </c>
      <c r="E7" s="19"/>
      <c r="F7" s="12"/>
    </row>
    <row r="8" spans="1:6" ht="63.75" customHeight="1" x14ac:dyDescent="0.25">
      <c r="A8" s="12">
        <v>4</v>
      </c>
      <c r="B8" s="13" t="s">
        <v>159</v>
      </c>
      <c r="C8" s="13" t="s">
        <v>160</v>
      </c>
      <c r="D8" s="13" t="s">
        <v>161</v>
      </c>
      <c r="E8" s="19"/>
      <c r="F8" s="12"/>
    </row>
    <row r="9" spans="1:6" ht="63.75" customHeight="1" x14ac:dyDescent="0.25">
      <c r="A9" s="12">
        <v>5</v>
      </c>
      <c r="B9" s="13" t="s">
        <v>162</v>
      </c>
      <c r="C9" s="13" t="s">
        <v>163</v>
      </c>
      <c r="D9" s="13" t="s">
        <v>164</v>
      </c>
      <c r="E9" s="19"/>
      <c r="F9" s="12"/>
    </row>
    <row r="10" spans="1:6" ht="63.75" customHeight="1" x14ac:dyDescent="0.25">
      <c r="A10" s="12">
        <v>6</v>
      </c>
      <c r="B10" s="13" t="s">
        <v>165</v>
      </c>
      <c r="C10" s="13" t="s">
        <v>166</v>
      </c>
      <c r="D10" s="13" t="s">
        <v>167</v>
      </c>
      <c r="E10" s="19"/>
      <c r="F10" s="12"/>
    </row>
    <row r="11" spans="1:6" ht="63.75" customHeight="1" x14ac:dyDescent="0.25">
      <c r="A11" s="12">
        <v>7</v>
      </c>
      <c r="B11" s="13" t="s">
        <v>168</v>
      </c>
      <c r="C11" s="13" t="s">
        <v>169</v>
      </c>
      <c r="D11" s="13" t="s">
        <v>170</v>
      </c>
      <c r="E11" s="19"/>
      <c r="F11" s="12"/>
    </row>
    <row r="12" spans="1:6" ht="63.75" customHeight="1" x14ac:dyDescent="0.25">
      <c r="A12" s="12">
        <v>8</v>
      </c>
      <c r="B12" s="13" t="s">
        <v>171</v>
      </c>
      <c r="C12" s="13" t="s">
        <v>172</v>
      </c>
      <c r="D12" s="13" t="s">
        <v>173</v>
      </c>
      <c r="E12" s="19"/>
      <c r="F12" s="12"/>
    </row>
    <row r="13" spans="1:6" ht="63.75" customHeight="1" x14ac:dyDescent="0.25">
      <c r="A13" s="12">
        <v>9</v>
      </c>
      <c r="B13" s="13" t="s">
        <v>174</v>
      </c>
      <c r="C13" s="13" t="s">
        <v>175</v>
      </c>
      <c r="D13" s="13" t="s">
        <v>176</v>
      </c>
      <c r="E13" s="19"/>
      <c r="F13" s="12"/>
    </row>
    <row r="14" spans="1:6" ht="63.75" customHeight="1" x14ac:dyDescent="0.25">
      <c r="A14" s="12">
        <v>10</v>
      </c>
      <c r="B14" s="13" t="s">
        <v>177</v>
      </c>
      <c r="C14" s="13" t="s">
        <v>178</v>
      </c>
      <c r="D14" s="13" t="s">
        <v>179</v>
      </c>
      <c r="E14" s="19"/>
      <c r="F14" s="12"/>
    </row>
  </sheetData>
  <mergeCells count="2">
    <mergeCell ref="A1:F1"/>
    <mergeCell ref="A2:F2"/>
  </mergeCells>
  <dataValidations count="1">
    <dataValidation type="list" allowBlank="1" sqref="F5:F14" xr:uid="{00000000-0002-0000-0500-000000000000}">
      <formula1>"✓,✗,جزئي"</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1"/>
  <sheetViews>
    <sheetView rightToLeft="1" zoomScaleNormal="100" workbookViewId="0">
      <selection sqref="A1:H1"/>
    </sheetView>
  </sheetViews>
  <sheetFormatPr defaultColWidth="8.7109375" defaultRowHeight="15" x14ac:dyDescent="0.25"/>
  <cols>
    <col min="1" max="1" width="6" customWidth="1"/>
    <col min="2" max="5" width="20" customWidth="1"/>
    <col min="6" max="7" width="14" customWidth="1"/>
    <col min="8" max="8" width="10" customWidth="1"/>
  </cols>
  <sheetData>
    <row r="1" spans="1:8" ht="25.5" customHeight="1" x14ac:dyDescent="0.25">
      <c r="A1" s="6" t="s">
        <v>180</v>
      </c>
      <c r="B1" s="6"/>
      <c r="C1" s="6"/>
      <c r="D1" s="6"/>
      <c r="E1" s="6"/>
      <c r="F1" s="6"/>
      <c r="G1" s="6"/>
      <c r="H1" s="6"/>
    </row>
    <row r="2" spans="1:8" ht="18" customHeight="1" x14ac:dyDescent="0.25">
      <c r="A2" s="5" t="s">
        <v>181</v>
      </c>
      <c r="B2" s="5"/>
      <c r="C2" s="5"/>
      <c r="D2" s="5"/>
      <c r="E2" s="5"/>
      <c r="F2" s="5"/>
      <c r="G2" s="5"/>
      <c r="H2" s="5"/>
    </row>
    <row r="4" spans="1:8" ht="42" customHeight="1" x14ac:dyDescent="0.25">
      <c r="A4" s="11" t="s">
        <v>34</v>
      </c>
      <c r="B4" s="11" t="s">
        <v>182</v>
      </c>
      <c r="C4" s="11" t="s">
        <v>183</v>
      </c>
      <c r="D4" s="11" t="s">
        <v>184</v>
      </c>
      <c r="E4" s="11" t="s">
        <v>185</v>
      </c>
      <c r="F4" s="11" t="s">
        <v>91</v>
      </c>
      <c r="G4" s="11" t="s">
        <v>92</v>
      </c>
      <c r="H4" s="11" t="s">
        <v>58</v>
      </c>
    </row>
    <row r="5" spans="1:8" ht="30" customHeight="1" x14ac:dyDescent="0.25">
      <c r="A5" s="12">
        <v>1</v>
      </c>
      <c r="B5" s="15">
        <v>500</v>
      </c>
      <c r="C5" s="15">
        <v>-200</v>
      </c>
      <c r="D5" s="17">
        <f>B5+C5</f>
        <v>300</v>
      </c>
      <c r="E5" s="13" t="s">
        <v>186</v>
      </c>
      <c r="F5" s="18"/>
      <c r="G5" s="18"/>
      <c r="H5" s="12" t="str">
        <f>IF(F5="","",IF(ROUND(D5,2)=ROUND(F5,2),"✓","✗ تحقق"))</f>
        <v/>
      </c>
    </row>
    <row r="6" spans="1:8" ht="30" customHeight="1" x14ac:dyDescent="0.25">
      <c r="A6" s="12">
        <v>2</v>
      </c>
      <c r="B6" s="15">
        <v>-500</v>
      </c>
      <c r="C6" s="15">
        <v>300</v>
      </c>
      <c r="D6" s="17">
        <f>B6+C6</f>
        <v>-200</v>
      </c>
      <c r="E6" s="13" t="s">
        <v>187</v>
      </c>
      <c r="F6" s="18"/>
      <c r="G6" s="18"/>
      <c r="H6" s="12" t="str">
        <f>IF(F6="","",IF(ROUND(D6,2)=ROUND(F6,2),"✓","✗ تحقق"))</f>
        <v/>
      </c>
    </row>
    <row r="7" spans="1:8" ht="30" customHeight="1" x14ac:dyDescent="0.25">
      <c r="A7" s="12">
        <v>3</v>
      </c>
      <c r="B7" s="15">
        <v>500</v>
      </c>
      <c r="C7" s="15">
        <v>-700</v>
      </c>
      <c r="D7" s="17">
        <f>B7+C7</f>
        <v>-200</v>
      </c>
      <c r="E7" s="13" t="s">
        <v>188</v>
      </c>
      <c r="F7" s="18"/>
      <c r="G7" s="18"/>
      <c r="H7" s="12" t="str">
        <f>IF(F7="","",IF(ROUND(D7,2)=ROUND(F7,2),"✓","✗ تحقق"))</f>
        <v/>
      </c>
    </row>
    <row r="8" spans="1:8" ht="30" customHeight="1" x14ac:dyDescent="0.25">
      <c r="A8" s="12">
        <v>4</v>
      </c>
      <c r="B8" s="15">
        <v>-500</v>
      </c>
      <c r="C8" s="15">
        <v>500</v>
      </c>
      <c r="D8" s="17">
        <f>B8+C8</f>
        <v>0</v>
      </c>
      <c r="E8" s="13" t="s">
        <v>189</v>
      </c>
      <c r="F8" s="18"/>
      <c r="G8" s="18"/>
      <c r="H8" s="12" t="str">
        <f>IF(F8="","",IF(ROUND(D8,2)=ROUND(F8,2),"✓","✗ تحقق"))</f>
        <v/>
      </c>
    </row>
    <row r="9" spans="1:8" ht="30" customHeight="1" x14ac:dyDescent="0.25">
      <c r="A9" s="12">
        <v>5</v>
      </c>
      <c r="B9" s="15">
        <v>0</v>
      </c>
      <c r="C9" s="15">
        <v>300</v>
      </c>
      <c r="D9" s="17">
        <f>B9+C9</f>
        <v>300</v>
      </c>
      <c r="E9" s="13" t="s">
        <v>190</v>
      </c>
      <c r="F9" s="18"/>
      <c r="G9" s="18"/>
      <c r="H9" s="12" t="str">
        <f>IF(F9="","",IF(ROUND(D9,2)=ROUND(F9,2),"✓","✗ تحقق"))</f>
        <v/>
      </c>
    </row>
    <row r="11" spans="1:8" ht="30" customHeight="1" x14ac:dyDescent="0.25">
      <c r="A11" s="1" t="s">
        <v>191</v>
      </c>
      <c r="B11" s="1"/>
      <c r="C11" s="1"/>
      <c r="D11" s="1"/>
      <c r="E11" s="1"/>
      <c r="F11" s="1"/>
      <c r="G11" s="1"/>
      <c r="H11" s="1"/>
    </row>
  </sheetData>
  <mergeCells count="3">
    <mergeCell ref="A1:H1"/>
    <mergeCell ref="A2:H2"/>
    <mergeCell ref="A11:H11"/>
  </mergeCells>
  <conditionalFormatting sqref="H5:H9">
    <cfRule type="cellIs" dxfId="5" priority="2" operator="equal">
      <formula>"✓"</formula>
    </cfRule>
    <cfRule type="cellIs" dxfId="4" priority="3" operator="equal">
      <formula>"✗ تحقق"</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rightToLeft="1" zoomScaleNormal="100" workbookViewId="0">
      <selection sqref="A1:H1"/>
    </sheetView>
  </sheetViews>
  <sheetFormatPr defaultColWidth="8.7109375" defaultRowHeight="15" x14ac:dyDescent="0.25"/>
  <cols>
    <col min="1" max="1" width="6" customWidth="1"/>
    <col min="2" max="2" width="16" customWidth="1"/>
    <col min="3" max="4" width="20" customWidth="1"/>
    <col min="5" max="5" width="18" customWidth="1"/>
    <col min="6" max="7" width="16" customWidth="1"/>
    <col min="8" max="8" width="10" customWidth="1"/>
  </cols>
  <sheetData>
    <row r="1" spans="1:8" ht="25.5" customHeight="1" x14ac:dyDescent="0.25">
      <c r="A1" s="6" t="s">
        <v>192</v>
      </c>
      <c r="B1" s="6"/>
      <c r="C1" s="6"/>
      <c r="D1" s="6"/>
      <c r="E1" s="6"/>
      <c r="F1" s="6"/>
      <c r="G1" s="6"/>
      <c r="H1" s="6"/>
    </row>
    <row r="2" spans="1:8" ht="18" customHeight="1" x14ac:dyDescent="0.25">
      <c r="A2" s="5" t="s">
        <v>193</v>
      </c>
      <c r="B2" s="5"/>
      <c r="C2" s="5"/>
      <c r="D2" s="5"/>
      <c r="E2" s="5"/>
      <c r="F2" s="5"/>
      <c r="G2" s="5"/>
      <c r="H2" s="5"/>
    </row>
    <row r="4" spans="1:8" ht="42" customHeight="1" x14ac:dyDescent="0.25">
      <c r="A4" s="11" t="s">
        <v>34</v>
      </c>
      <c r="B4" s="11" t="s">
        <v>194</v>
      </c>
      <c r="C4" s="11" t="s">
        <v>195</v>
      </c>
      <c r="D4" s="11" t="s">
        <v>196</v>
      </c>
      <c r="E4" s="11" t="s">
        <v>197</v>
      </c>
      <c r="F4" s="11" t="s">
        <v>91</v>
      </c>
      <c r="G4" s="11" t="s">
        <v>92</v>
      </c>
      <c r="H4" s="11" t="s">
        <v>58</v>
      </c>
    </row>
    <row r="5" spans="1:8" ht="31.5" customHeight="1" x14ac:dyDescent="0.25">
      <c r="A5" s="12">
        <v>1</v>
      </c>
      <c r="B5" s="15">
        <v>1000</v>
      </c>
      <c r="C5" s="15">
        <v>400</v>
      </c>
      <c r="D5" s="14" t="b">
        <f>TRUE()</f>
        <v>1</v>
      </c>
      <c r="E5" s="17">
        <f>IF(D5=FALSE(),"غير مسموح — نوع مختلف",MIN(B5,C5))</f>
        <v>400</v>
      </c>
      <c r="F5" s="19"/>
      <c r="G5" s="19"/>
      <c r="H5" s="12" t="str">
        <f>IF(F5="","",IF(F5=E5,"✓","✗ تحقق"))</f>
        <v/>
      </c>
    </row>
    <row r="6" spans="1:8" ht="31.5" customHeight="1" x14ac:dyDescent="0.25">
      <c r="A6" s="12">
        <v>2</v>
      </c>
      <c r="B6" s="15">
        <v>300</v>
      </c>
      <c r="C6" s="15">
        <v>900</v>
      </c>
      <c r="D6" s="14" t="b">
        <f>TRUE()</f>
        <v>1</v>
      </c>
      <c r="E6" s="17">
        <f>IF(D6=FALSE(),"غير مسموح — نوع مختلف",MIN(B6,C6))</f>
        <v>300</v>
      </c>
      <c r="F6" s="19"/>
      <c r="G6" s="19"/>
      <c r="H6" s="12" t="str">
        <f>IF(F6="","",IF(F6=E6,"✓","✗ تحقق"))</f>
        <v/>
      </c>
    </row>
    <row r="7" spans="1:8" ht="31.5" customHeight="1" x14ac:dyDescent="0.25">
      <c r="A7" s="12">
        <v>3</v>
      </c>
      <c r="B7" s="15">
        <v>500</v>
      </c>
      <c r="C7" s="15">
        <v>500</v>
      </c>
      <c r="D7" s="14" t="b">
        <f>TRUE()</f>
        <v>1</v>
      </c>
      <c r="E7" s="17">
        <f>IF(D7=FALSE(),"غير مسموح — نوع مختلف",MIN(B7,C7))</f>
        <v>500</v>
      </c>
      <c r="F7" s="19"/>
      <c r="G7" s="19"/>
      <c r="H7" s="12" t="str">
        <f>IF(F7="","",IF(F7=E7,"✓","✗ تحقق"))</f>
        <v/>
      </c>
    </row>
    <row r="8" spans="1:8" ht="31.5" customHeight="1" x14ac:dyDescent="0.25">
      <c r="A8" s="12">
        <v>4</v>
      </c>
      <c r="B8" s="15">
        <v>800</v>
      </c>
      <c r="C8" s="15">
        <v>300</v>
      </c>
      <c r="D8" s="14" t="b">
        <f>FALSE()</f>
        <v>0</v>
      </c>
      <c r="E8" s="17" t="str">
        <f>IF(D8=FALSE(),"غير مسموح — نوع مختلف",MIN(B8,C8))</f>
        <v>غير مسموح — نوع مختلف</v>
      </c>
      <c r="F8" s="19"/>
      <c r="G8" s="19"/>
      <c r="H8" s="12" t="str">
        <f>IF(F8="","",IF(F8=E8,"✓","✗ تحقق"))</f>
        <v/>
      </c>
    </row>
    <row r="9" spans="1:8" ht="31.5" customHeight="1" x14ac:dyDescent="0.25">
      <c r="A9" s="12">
        <v>5</v>
      </c>
      <c r="B9" s="15">
        <v>0</v>
      </c>
      <c r="C9" s="15">
        <v>500</v>
      </c>
      <c r="D9" s="14" t="b">
        <f>TRUE()</f>
        <v>1</v>
      </c>
      <c r="E9" s="17">
        <f>IF(D9=FALSE(),"غير مسموح — نوع مختلف",MIN(B9,C9))</f>
        <v>0</v>
      </c>
      <c r="F9" s="19"/>
      <c r="G9" s="19"/>
      <c r="H9" s="12" t="str">
        <f>IF(F9="","",IF(F9=E9,"✓","✗ تحقق"))</f>
        <v/>
      </c>
    </row>
    <row r="11" spans="1:8" ht="30" customHeight="1" x14ac:dyDescent="0.25">
      <c r="A11" s="1" t="s">
        <v>198</v>
      </c>
      <c r="B11" s="1"/>
      <c r="C11" s="1"/>
      <c r="D11" s="1"/>
      <c r="E11" s="1"/>
      <c r="F11" s="1"/>
      <c r="G11" s="1"/>
      <c r="H11" s="1"/>
    </row>
  </sheetData>
  <mergeCells count="3">
    <mergeCell ref="A1:H1"/>
    <mergeCell ref="A2:H2"/>
    <mergeCell ref="A11:H11"/>
  </mergeCells>
  <conditionalFormatting sqref="H5:H9">
    <cfRule type="cellIs" dxfId="3" priority="2" operator="equal">
      <formula>"✓"</formula>
    </cfRule>
    <cfRule type="cellIs" dxfId="2" priority="3" operator="equal">
      <formula>"✗ تحقق"</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rightToLeft="1" tabSelected="1" zoomScaleNormal="100" workbookViewId="0">
      <selection activeCell="J7" sqref="J7"/>
    </sheetView>
  </sheetViews>
  <sheetFormatPr defaultColWidth="8.7109375" defaultRowHeight="15" x14ac:dyDescent="0.25"/>
  <cols>
    <col min="1" max="1" width="6" customWidth="1"/>
    <col min="2" max="2" width="30" customWidth="1"/>
    <col min="3" max="5" width="16" customWidth="1"/>
    <col min="6" max="6" width="14" customWidth="1"/>
  </cols>
  <sheetData>
    <row r="1" spans="1:6" ht="25.5" customHeight="1" x14ac:dyDescent="0.25">
      <c r="A1" s="6" t="s">
        <v>199</v>
      </c>
      <c r="B1" s="6"/>
      <c r="C1" s="6"/>
      <c r="D1" s="6"/>
      <c r="E1" s="6"/>
      <c r="F1" s="6"/>
    </row>
    <row r="2" spans="1:6" ht="18" customHeight="1" x14ac:dyDescent="0.25">
      <c r="A2" s="5" t="s">
        <v>200</v>
      </c>
      <c r="B2" s="5"/>
      <c r="C2" s="5"/>
      <c r="D2" s="5"/>
      <c r="E2" s="5"/>
      <c r="F2" s="5"/>
    </row>
    <row r="4" spans="1:6" ht="42" customHeight="1" x14ac:dyDescent="0.25">
      <c r="A4" s="11" t="s">
        <v>34</v>
      </c>
      <c r="B4" s="11" t="s">
        <v>36</v>
      </c>
      <c r="C4" s="11" t="s">
        <v>201</v>
      </c>
      <c r="D4" s="11" t="s">
        <v>202</v>
      </c>
      <c r="E4" s="11" t="s">
        <v>203</v>
      </c>
      <c r="F4" s="11" t="s">
        <v>204</v>
      </c>
    </row>
    <row r="5" spans="1:6" ht="31.5" customHeight="1" x14ac:dyDescent="0.25">
      <c r="A5" s="12">
        <v>1</v>
      </c>
      <c r="B5" s="13" t="s">
        <v>205</v>
      </c>
      <c r="C5" s="15">
        <v>125</v>
      </c>
      <c r="D5" s="15">
        <v>20</v>
      </c>
      <c r="E5" s="17">
        <f>IF(D5&gt;C5,"يجب أن يمنع النظام الحفظ",C5-D5)</f>
        <v>105</v>
      </c>
      <c r="F5" s="19"/>
    </row>
    <row r="6" spans="1:6" ht="31.5" customHeight="1" x14ac:dyDescent="0.25">
      <c r="A6" s="12">
        <v>2</v>
      </c>
      <c r="B6" s="13" t="s">
        <v>206</v>
      </c>
      <c r="C6" s="15">
        <v>50</v>
      </c>
      <c r="D6" s="15">
        <v>50</v>
      </c>
      <c r="E6" s="17">
        <f>IF(D6&gt;C6,"يجب أن يمنع النظام الحفظ",C6-D6)</f>
        <v>0</v>
      </c>
      <c r="F6" s="19"/>
    </row>
    <row r="7" spans="1:6" ht="31.5" customHeight="1" x14ac:dyDescent="0.25">
      <c r="A7" s="12">
        <v>3</v>
      </c>
      <c r="B7" s="13" t="s">
        <v>207</v>
      </c>
      <c r="C7" s="15">
        <v>50</v>
      </c>
      <c r="D7" s="15">
        <v>60</v>
      </c>
      <c r="E7" s="17" t="str">
        <f>IF(D7&gt;C7,"يجب أن يمنع النظام الحفظ",C7-D7)</f>
        <v>يجب أن يمنع النظام الحفظ</v>
      </c>
      <c r="F7" s="19"/>
    </row>
    <row r="8" spans="1:6" ht="25.5" customHeight="1" x14ac:dyDescent="0.25">
      <c r="A8" s="6" t="s">
        <v>208</v>
      </c>
      <c r="B8" s="6"/>
      <c r="C8" s="6"/>
      <c r="D8" s="6"/>
      <c r="E8" s="6"/>
      <c r="F8" s="6"/>
    </row>
    <row r="9" spans="1:6" ht="18" customHeight="1" x14ac:dyDescent="0.25">
      <c r="A9" s="5" t="s">
        <v>209</v>
      </c>
      <c r="B9" s="5"/>
      <c r="C9" s="5"/>
      <c r="D9" s="5"/>
      <c r="E9" s="5"/>
      <c r="F9" s="5"/>
    </row>
    <row r="11" spans="1:6" ht="42" customHeight="1" x14ac:dyDescent="0.25">
      <c r="A11" s="11" t="s">
        <v>34</v>
      </c>
      <c r="B11" s="11" t="s">
        <v>210</v>
      </c>
      <c r="C11" s="11" t="s">
        <v>211</v>
      </c>
      <c r="D11" s="11" t="s">
        <v>212</v>
      </c>
      <c r="E11" s="11" t="s">
        <v>213</v>
      </c>
      <c r="F11" s="11" t="s">
        <v>204</v>
      </c>
    </row>
    <row r="12" spans="1:6" ht="31.5" customHeight="1" x14ac:dyDescent="0.25">
      <c r="A12" s="12">
        <v>1</v>
      </c>
      <c r="B12" s="15">
        <v>50</v>
      </c>
      <c r="C12" s="15">
        <v>55</v>
      </c>
      <c r="D12" s="17">
        <f>MIN(B12,C12)</f>
        <v>50</v>
      </c>
      <c r="E12" s="17">
        <f>MAX(C12-B12,0)</f>
        <v>5</v>
      </c>
      <c r="F12" s="13" t="s">
        <v>214</v>
      </c>
    </row>
    <row r="13" spans="1:6" ht="31.5" customHeight="1" x14ac:dyDescent="0.25">
      <c r="A13" s="12">
        <v>2</v>
      </c>
      <c r="B13" s="15">
        <v>50</v>
      </c>
      <c r="C13" s="15">
        <v>50</v>
      </c>
      <c r="D13" s="17">
        <f>MIN(B13,C13)</f>
        <v>50</v>
      </c>
      <c r="E13" s="17">
        <f>MAX(C13-B13,0)</f>
        <v>0</v>
      </c>
      <c r="F13" s="13" t="s">
        <v>215</v>
      </c>
    </row>
    <row r="14" spans="1:6" ht="31.5" customHeight="1" x14ac:dyDescent="0.25">
      <c r="A14" s="12">
        <v>3</v>
      </c>
      <c r="B14" s="15">
        <v>0</v>
      </c>
      <c r="C14" s="15">
        <v>20</v>
      </c>
      <c r="D14" s="17">
        <f>MIN(B14,C14)</f>
        <v>0</v>
      </c>
      <c r="E14" s="17">
        <f>MAX(C14-B14,0)</f>
        <v>20</v>
      </c>
      <c r="F14" s="13" t="s">
        <v>216</v>
      </c>
    </row>
  </sheetData>
  <mergeCells count="4">
    <mergeCell ref="A1:F1"/>
    <mergeCell ref="A2:F2"/>
    <mergeCell ref="A8:F8"/>
    <mergeCell ref="A9:F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
  <sheetViews>
    <sheetView rightToLeft="1" zoomScaleNormal="100" workbookViewId="0"/>
  </sheetViews>
  <sheetFormatPr defaultColWidth="8.7109375" defaultRowHeight="15" x14ac:dyDescent="0.25"/>
  <cols>
    <col min="1" max="1" width="6" customWidth="1"/>
    <col min="2" max="2" width="26" customWidth="1"/>
    <col min="3" max="3" width="42" customWidth="1"/>
    <col min="4" max="5" width="16" customWidth="1"/>
    <col min="6" max="6" width="10" customWidth="1"/>
  </cols>
  <sheetData>
    <row r="1" spans="1:6" ht="25.5" customHeight="1" x14ac:dyDescent="0.25">
      <c r="A1" s="6" t="s">
        <v>217</v>
      </c>
      <c r="B1" s="6"/>
      <c r="C1" s="6"/>
      <c r="D1" s="6"/>
      <c r="E1" s="6"/>
      <c r="F1" s="6"/>
    </row>
    <row r="2" spans="1:6" ht="18" customHeight="1" x14ac:dyDescent="0.25">
      <c r="A2" s="5" t="s">
        <v>218</v>
      </c>
      <c r="B2" s="5"/>
      <c r="C2" s="5"/>
      <c r="D2" s="5"/>
      <c r="E2" s="5"/>
      <c r="F2" s="5"/>
    </row>
    <row r="4" spans="1:6" ht="42" customHeight="1" x14ac:dyDescent="0.25">
      <c r="A4" s="11" t="s">
        <v>34</v>
      </c>
      <c r="B4" s="11" t="s">
        <v>219</v>
      </c>
      <c r="C4" s="11" t="s">
        <v>220</v>
      </c>
      <c r="D4" s="11" t="s">
        <v>221</v>
      </c>
      <c r="E4" s="11" t="s">
        <v>222</v>
      </c>
      <c r="F4" s="11" t="s">
        <v>58</v>
      </c>
    </row>
    <row r="5" spans="1:6" ht="42" customHeight="1" x14ac:dyDescent="0.25">
      <c r="A5" s="12">
        <v>1</v>
      </c>
      <c r="B5" s="13" t="s">
        <v>223</v>
      </c>
      <c r="C5" s="13" t="s">
        <v>224</v>
      </c>
      <c r="D5" s="18"/>
      <c r="E5" s="18"/>
      <c r="F5" s="12" t="str">
        <f t="shared" ref="F5:F12" si="0">IF(OR(D5="",E5=""),"",IF(ROUND(D5,2)=ROUND(E5,2),"✓","✗ تحقق"))</f>
        <v/>
      </c>
    </row>
    <row r="6" spans="1:6" ht="42" customHeight="1" x14ac:dyDescent="0.25">
      <c r="A6" s="12">
        <v>2</v>
      </c>
      <c r="B6" s="13" t="s">
        <v>225</v>
      </c>
      <c r="C6" s="13" t="s">
        <v>226</v>
      </c>
      <c r="D6" s="18"/>
      <c r="E6" s="18"/>
      <c r="F6" s="12" t="str">
        <f t="shared" si="0"/>
        <v/>
      </c>
    </row>
    <row r="7" spans="1:6" ht="42" customHeight="1" x14ac:dyDescent="0.25">
      <c r="A7" s="12">
        <v>3</v>
      </c>
      <c r="B7" s="13" t="s">
        <v>227</v>
      </c>
      <c r="C7" s="13" t="s">
        <v>228</v>
      </c>
      <c r="D7" s="18"/>
      <c r="E7" s="18"/>
      <c r="F7" s="12" t="str">
        <f t="shared" si="0"/>
        <v/>
      </c>
    </row>
    <row r="8" spans="1:6" ht="42" customHeight="1" x14ac:dyDescent="0.25">
      <c r="A8" s="12">
        <v>4</v>
      </c>
      <c r="B8" s="13" t="s">
        <v>229</v>
      </c>
      <c r="C8" s="13" t="s">
        <v>230</v>
      </c>
      <c r="D8" s="18"/>
      <c r="E8" s="18"/>
      <c r="F8" s="12" t="str">
        <f t="shared" si="0"/>
        <v/>
      </c>
    </row>
    <row r="9" spans="1:6" ht="42" customHeight="1" x14ac:dyDescent="0.25">
      <c r="A9" s="12">
        <v>5</v>
      </c>
      <c r="B9" s="13" t="s">
        <v>231</v>
      </c>
      <c r="C9" s="13" t="s">
        <v>232</v>
      </c>
      <c r="D9" s="18"/>
      <c r="E9" s="18"/>
      <c r="F9" s="12" t="str">
        <f t="shared" si="0"/>
        <v/>
      </c>
    </row>
    <row r="10" spans="1:6" ht="42" customHeight="1" x14ac:dyDescent="0.25">
      <c r="A10" s="12">
        <v>6</v>
      </c>
      <c r="B10" s="13" t="s">
        <v>233</v>
      </c>
      <c r="C10" s="13" t="s">
        <v>234</v>
      </c>
      <c r="D10" s="18"/>
      <c r="E10" s="18"/>
      <c r="F10" s="12" t="str">
        <f t="shared" si="0"/>
        <v/>
      </c>
    </row>
    <row r="11" spans="1:6" ht="42" customHeight="1" x14ac:dyDescent="0.25">
      <c r="A11" s="12">
        <v>7</v>
      </c>
      <c r="B11" s="13" t="s">
        <v>235</v>
      </c>
      <c r="C11" s="13" t="s">
        <v>236</v>
      </c>
      <c r="D11" s="18"/>
      <c r="E11" s="18"/>
      <c r="F11" s="12" t="str">
        <f t="shared" si="0"/>
        <v/>
      </c>
    </row>
    <row r="12" spans="1:6" ht="42" customHeight="1" x14ac:dyDescent="0.25">
      <c r="A12" s="12">
        <v>8</v>
      </c>
      <c r="B12" s="13" t="s">
        <v>237</v>
      </c>
      <c r="C12" s="13" t="s">
        <v>238</v>
      </c>
      <c r="D12" s="18"/>
      <c r="E12" s="18"/>
      <c r="F12" s="12" t="str">
        <f t="shared" si="0"/>
        <v/>
      </c>
    </row>
  </sheetData>
  <mergeCells count="2">
    <mergeCell ref="A1:F1"/>
    <mergeCell ref="A2:F2"/>
  </mergeCells>
  <conditionalFormatting sqref="F5:F12">
    <cfRule type="cellIs" dxfId="1" priority="2" operator="equal">
      <formula>"✓"</formula>
    </cfRule>
    <cfRule type="cellIs" dxfId="0" priority="3" operator="equal">
      <formula>"✗ تحقق"</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اقرأني - README</vt:lpstr>
      <vt:lpstr>الصحيفة اليومية - المحرك</vt:lpstr>
      <vt:lpstr>تغيير النسب أثناء الشهر</vt:lpstr>
      <vt:lpstr>النسبة الإدارية والصندوق</vt:lpstr>
      <vt:lpstr>الصندوق التشغيلي</vt:lpstr>
      <vt:lpstr>الدين الإداري والتسوية</vt:lpstr>
      <vt:lpstr>محطة الصندوق - الترحيل</vt:lpstr>
      <vt:lpstr>المساهمات بين المشاريع</vt:lpstr>
      <vt:lpstr>المخزون - FIFO والمصروف</vt:lpstr>
      <vt:lpstr>قائمة الاتساق بين الصفحات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El mostafa</cp:lastModifiedBy>
  <cp:revision>0</cp:revision>
  <dcterms:created xsi:type="dcterms:W3CDTF">2026-08-05T09:04:06Z</dcterms:created>
  <dcterms:modified xsi:type="dcterms:W3CDTF">2026-08-05T09:27:01Z</dcterms:modified>
  <dc:language>en-US</dc:language>
</cp:coreProperties>
</file>